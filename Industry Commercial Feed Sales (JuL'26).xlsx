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" sheetId="1" r:id="rId5"/>
    <sheet state="hidden" name="Copy of Sheet1" sheetId="2" r:id="rId6"/>
  </sheets>
  <definedNames>
    <definedName hidden="1" localSheetId="0" name="_xlnm._FilterDatabase">Ranking!$A$3:$AC$27</definedName>
    <definedName hidden="1" localSheetId="1" name="_xlnm._FilterDatabase">'Copy of Sheet1'!$A$2:$BH$23</definedName>
  </definedNames>
  <calcPr/>
</workbook>
</file>

<file path=xl/sharedStrings.xml><?xml version="1.0" encoding="utf-8"?>
<sst xmlns="http://schemas.openxmlformats.org/spreadsheetml/2006/main" count="182" uniqueCount="89">
  <si>
    <t>Feed Industry Sales &amp; Ranking - 2025 &amp; Jan-Aug'2026</t>
  </si>
  <si>
    <t>Sl</t>
  </si>
  <si>
    <t>Company</t>
  </si>
  <si>
    <t>2025 Total</t>
  </si>
  <si>
    <t>Monthly Avg'25</t>
  </si>
  <si>
    <t>MS (%)</t>
  </si>
  <si>
    <t>Jan'26</t>
  </si>
  <si>
    <t>Jan/Dec</t>
  </si>
  <si>
    <t>Feb'26</t>
  </si>
  <si>
    <t>Feb/Jan</t>
  </si>
  <si>
    <t>Mar'26</t>
  </si>
  <si>
    <t>Mar/Feb</t>
  </si>
  <si>
    <t xml:space="preserve">2026 total 1st Q </t>
  </si>
  <si>
    <t>M. Avg'26 1st Q</t>
  </si>
  <si>
    <t>Apr'26</t>
  </si>
  <si>
    <t>Apr/Mar</t>
  </si>
  <si>
    <t>May'26</t>
  </si>
  <si>
    <t>May/Apr</t>
  </si>
  <si>
    <t>Jun'26</t>
  </si>
  <si>
    <t>Jun/May</t>
  </si>
  <si>
    <t>Jul'26</t>
  </si>
  <si>
    <t>Jul/Jun</t>
  </si>
  <si>
    <t>Aug'26</t>
  </si>
  <si>
    <t>Aug/Jul</t>
  </si>
  <si>
    <t>Sep'26</t>
  </si>
  <si>
    <t>Sep/Aug</t>
  </si>
  <si>
    <t>Nourish</t>
  </si>
  <si>
    <t>71 Feed (Alal)</t>
  </si>
  <si>
    <t>New Hope</t>
  </si>
  <si>
    <t>C.P</t>
  </si>
  <si>
    <t>Quality</t>
  </si>
  <si>
    <t>Paragon</t>
  </si>
  <si>
    <t>ACI Feed</t>
  </si>
  <si>
    <t>R.R.P</t>
  </si>
  <si>
    <t>Nahar Feeds</t>
  </si>
  <si>
    <t>Aman</t>
  </si>
  <si>
    <t>Teer Feed</t>
  </si>
  <si>
    <t>Provita</t>
  </si>
  <si>
    <t>Kazi</t>
  </si>
  <si>
    <t>Astha</t>
  </si>
  <si>
    <t>AKIJ Feed</t>
  </si>
  <si>
    <t>Tongwei</t>
  </si>
  <si>
    <t>Mega Feed</t>
  </si>
  <si>
    <t>Aftab</t>
  </si>
  <si>
    <t>Care/Tamim</t>
  </si>
  <si>
    <t>Ruposhi Bangla</t>
  </si>
  <si>
    <t>Fresh Feed</t>
  </si>
  <si>
    <t>Index</t>
  </si>
  <si>
    <t>Others</t>
  </si>
  <si>
    <t>Total</t>
  </si>
  <si>
    <t>Note: The dataset has been compiled from various sources, and therefore slight variations or discrepancies may occur.</t>
  </si>
  <si>
    <t>Revised Sep'26 (670K)</t>
  </si>
  <si>
    <t>Industry Only Commercial Feed Sales(MT) Aug-2025</t>
  </si>
  <si>
    <t>Jul'23</t>
  </si>
  <si>
    <t>Aug'23</t>
  </si>
  <si>
    <t>Sep'23</t>
  </si>
  <si>
    <t>Oct'23</t>
  </si>
  <si>
    <t>Nov'23</t>
  </si>
  <si>
    <t>Dec'23</t>
  </si>
  <si>
    <t>Jan'24</t>
  </si>
  <si>
    <t>Feb'24</t>
  </si>
  <si>
    <t>Mar'24</t>
  </si>
  <si>
    <t>Apr'24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</si>
  <si>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</si>
  <si>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</si>
  <si>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</si>
  <si>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</si>
  <si>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</si>
  <si>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</si>
  <si>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</si>
  <si>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</si>
  <si>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</si>
  <si>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</si>
  <si>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</si>
  <si>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Apr'25</t>
  </si>
  <si>
    <t>May'25</t>
  </si>
  <si>
    <t>Growth May/Apr</t>
  </si>
  <si>
    <t>Jun'25</t>
  </si>
  <si>
    <t>Growth Jun/May</t>
  </si>
  <si>
    <t>July'25</t>
  </si>
  <si>
    <t>Growth Jul/Jun</t>
  </si>
  <si>
    <t>Aug'25</t>
  </si>
  <si>
    <t>Growth Aug/Jul</t>
  </si>
  <si>
    <t>DOC</t>
  </si>
  <si>
    <t>Yes</t>
  </si>
  <si>
    <t>Akij</t>
  </si>
  <si>
    <t>-</t>
  </si>
  <si>
    <t>National Growth</t>
  </si>
  <si>
    <t>Akij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</si>
</sst>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u/>
      <sz val="16.0"/>
      <color theme="1"/>
      <name val="Arial"/>
    </font>
    <font>
      <color theme="1"/>
      <name val="Arial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00FF"/>
      <name val="Calibri"/>
    </font>
    <font>
      <sz val="11.0"/>
      <color rgb="FF1155CC"/>
      <name val="Calibri"/>
    </font>
    <font>
      <b/>
      <sz val="11.0"/>
      <color rgb="FF0000FF"/>
      <name val="Calibri"/>
    </font>
    <font>
      <i/>
      <color theme="1"/>
      <name val="Arial"/>
    </font>
    <font>
      <color theme="1"/>
      <name val="Arial"/>
      <scheme val="minor"/>
    </font>
    <font>
      <b/>
      <sz val="16.0"/>
      <color rgb="FF000000"/>
      <name val="Calibri"/>
    </font>
    <font/>
    <font>
      <sz val="11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2.0"/>
      <color rgb="FF000000"/>
      <name val="Calibri"/>
    </font>
    <font>
      <sz val="11.0"/>
      <color rgb="FF9C0006"/>
      <name val="Calibri"/>
    </font>
    <font>
      <b/>
      <sz val="12.0"/>
      <color rgb="FF0000FF"/>
      <name val="Calibri"/>
    </font>
    <font>
      <b/>
      <sz val="11.0"/>
      <color rgb="FF9C0006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2" fontId="4" numFmtId="0" xfId="0" applyAlignment="1" applyBorder="1" applyFill="1" applyFont="1">
      <alignment horizontal="center" readingOrder="0" vertical="center"/>
    </xf>
    <xf borderId="4" fillId="2" fontId="4" numFmtId="0" xfId="0" applyAlignment="1" applyBorder="1" applyFill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5" fillId="2" fontId="4" numFmtId="0" xfId="0" applyAlignment="1" applyBorder="1" applyFill="1" applyFont="1">
      <alignment horizontal="center" readingOrder="0" vertical="center"/>
    </xf>
    <xf borderId="6" fillId="2" fontId="4" numFmtId="0" xfId="0" applyAlignment="1" applyBorder="1" applyFill="1" applyFont="1">
      <alignment horizontal="center" readingOrder="0" vertical="center"/>
    </xf>
    <xf borderId="4" fillId="2" fontId="4" numFmtId="0" xfId="0" applyAlignment="1" applyBorder="1" applyFill="1" applyFont="1">
      <alignment horizontal="center" readingOrder="0" vertical="center"/>
    </xf>
    <xf borderId="7" fillId="2" fontId="4" numFmtId="0" xfId="0" applyAlignment="1" applyBorder="1" applyFill="1" applyFont="1">
      <alignment horizontal="center" readingOrder="0" shrinkToFit="0" vertical="center" wrapText="1"/>
    </xf>
    <xf borderId="7" fillId="2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8" fillId="3" fontId="5" numFmtId="0" xfId="0" applyAlignment="1" applyBorder="1" applyFill="1" applyFont="1">
      <alignment horizontal="center" readingOrder="0" vertical="bottom"/>
    </xf>
    <xf borderId="9" fillId="3" fontId="5" numFmtId="0" xfId="0" applyAlignment="1" applyBorder="1" applyFill="1" applyFont="1">
      <alignment readingOrder="0" vertical="bottom"/>
    </xf>
    <xf borderId="8" fillId="3" fontId="6" numFmtId="3" xfId="0" applyAlignment="1" applyBorder="1" applyFill="1" applyFont="1" applyNumberFormat="1">
      <alignment horizontal="center" readingOrder="0" vertical="bottom"/>
    </xf>
    <xf borderId="10" fillId="3" fontId="4" numFmtId="3" xfId="0" applyAlignment="1" applyBorder="1" applyFill="1" applyFont="1" applyNumberFormat="1">
      <alignment horizontal="center" readingOrder="0" vertical="bottom"/>
    </xf>
    <xf borderId="9" fillId="3" fontId="4" numFmtId="10" xfId="0" applyAlignment="1" applyBorder="1" applyFill="1" applyFont="1" applyNumberFormat="1">
      <alignment horizontal="center" readingOrder="0" vertical="bottom"/>
    </xf>
    <xf borderId="11" fillId="3" fontId="6" numFmtId="10" xfId="0" applyAlignment="1" applyBorder="1" applyFill="1" applyFont="1" applyNumberFormat="1">
      <alignment horizontal="center" readingOrder="0" vertical="bottom"/>
    </xf>
    <xf borderId="9" fillId="3" fontId="7" numFmtId="10" xfId="0" applyAlignment="1" applyBorder="1" applyFill="1" applyFont="1" applyNumberFormat="1">
      <alignment horizontal="center" readingOrder="0" vertical="bottom"/>
    </xf>
    <xf borderId="9" fillId="3" fontId="8" numFmtId="10" xfId="0" applyAlignment="1" applyBorder="1" applyFill="1" applyFont="1" applyNumberFormat="1">
      <alignment horizontal="center" readingOrder="0" vertical="bottom"/>
    </xf>
    <xf borderId="10" fillId="3" fontId="6" numFmtId="3" xfId="0" applyAlignment="1" applyBorder="1" applyFill="1" applyFont="1" applyNumberFormat="1">
      <alignment horizontal="center" readingOrder="0" vertical="bottom"/>
    </xf>
    <xf borderId="12" fillId="3" fontId="8" numFmtId="10" xfId="0" applyAlignment="1" applyBorder="1" applyFill="1" applyFont="1" applyNumberFormat="1">
      <alignment horizontal="center" readingOrder="0" vertical="bottom"/>
    </xf>
    <xf borderId="7" fillId="3" fontId="6" numFmtId="3" xfId="0" applyAlignment="1" applyBorder="1" applyFill="1" applyFont="1" applyNumberFormat="1">
      <alignment horizontal="center" readingOrder="0" vertical="bottom"/>
    </xf>
    <xf borderId="7" fillId="3" fontId="6" numFmtId="10" xfId="0" applyAlignment="1" applyBorder="1" applyFill="1" applyFont="1" applyNumberFormat="1">
      <alignment horizontal="center" readingOrder="0" vertical="bottom"/>
    </xf>
    <xf borderId="10" fillId="3" fontId="6" numFmtId="10" xfId="0" applyAlignment="1" applyBorder="1" applyFill="1" applyFont="1" applyNumberFormat="1">
      <alignment horizontal="center" readingOrder="0" vertical="bottom"/>
    </xf>
    <xf borderId="10" fillId="3" fontId="8" numFmtId="10" xfId="0" applyAlignment="1" applyBorder="1" applyFill="1" applyFont="1" applyNumberFormat="1">
      <alignment horizontal="center" readingOrder="0" vertical="bottom"/>
    </xf>
    <xf borderId="10" fillId="3" fontId="7" numFmtId="10" xfId="0" applyAlignment="1" applyBorder="1" applyFill="1" applyFont="1" applyNumberFormat="1">
      <alignment horizontal="center" readingOrder="0" vertical="bottom"/>
    </xf>
    <xf borderId="7" fillId="3" fontId="7" numFmtId="10" xfId="0" applyAlignment="1" applyBorder="1" applyFill="1" applyFont="1" applyNumberFormat="1">
      <alignment horizontal="center" readingOrder="0" vertical="bottom"/>
    </xf>
    <xf borderId="7" fillId="3" fontId="8" numFmtId="10" xfId="0" applyAlignment="1" applyBorder="1" applyFill="1" applyFont="1" applyNumberFormat="1">
      <alignment horizontal="center" readingOrder="0" vertical="bottom"/>
    </xf>
    <xf borderId="0" fillId="0" fontId="8" numFmtId="10" xfId="0" applyAlignment="1" applyFont="1" applyNumberFormat="1">
      <alignment horizontal="center" readingOrder="0" vertical="bottom"/>
    </xf>
    <xf borderId="8" fillId="4" fontId="5" numFmtId="0" xfId="0" applyAlignment="1" applyBorder="1" applyFill="1" applyFont="1">
      <alignment horizontal="center" readingOrder="0" vertical="bottom"/>
    </xf>
    <xf borderId="9" fillId="4" fontId="5" numFmtId="0" xfId="0" applyAlignment="1" applyBorder="1" applyFill="1" applyFont="1">
      <alignment readingOrder="0" vertical="bottom"/>
    </xf>
    <xf borderId="8" fillId="4" fontId="6" numFmtId="3" xfId="0" applyAlignment="1" applyBorder="1" applyFill="1" applyFont="1" applyNumberFormat="1">
      <alignment horizontal="center" readingOrder="0" vertical="bottom"/>
    </xf>
    <xf borderId="10" fillId="4" fontId="4" numFmtId="3" xfId="0" applyAlignment="1" applyBorder="1" applyFill="1" applyFont="1" applyNumberFormat="1">
      <alignment horizontal="center" readingOrder="0" vertical="bottom"/>
    </xf>
    <xf borderId="9" fillId="4" fontId="4" numFmtId="10" xfId="0" applyAlignment="1" applyBorder="1" applyFill="1" applyFont="1" applyNumberFormat="1">
      <alignment horizontal="center" readingOrder="0" vertical="bottom"/>
    </xf>
    <xf borderId="11" fillId="4" fontId="6" numFmtId="10" xfId="0" applyAlignment="1" applyBorder="1" applyFill="1" applyFont="1" applyNumberFormat="1">
      <alignment horizontal="center" readingOrder="0" vertical="bottom"/>
    </xf>
    <xf borderId="9" fillId="4" fontId="7" numFmtId="10" xfId="0" applyAlignment="1" applyBorder="1" applyFill="1" applyFont="1" applyNumberFormat="1">
      <alignment horizontal="center" readingOrder="0" vertical="bottom"/>
    </xf>
    <xf borderId="10" fillId="4" fontId="6" numFmtId="3" xfId="0" applyAlignment="1" applyBorder="1" applyFill="1" applyFont="1" applyNumberFormat="1">
      <alignment horizontal="center" readingOrder="0" vertical="bottom"/>
    </xf>
    <xf borderId="12" fillId="4" fontId="8" numFmtId="10" xfId="0" applyAlignment="1" applyBorder="1" applyFill="1" applyFont="1" applyNumberFormat="1">
      <alignment horizontal="center" readingOrder="0" vertical="bottom"/>
    </xf>
    <xf borderId="7" fillId="4" fontId="6" numFmtId="3" xfId="0" applyAlignment="1" applyBorder="1" applyFill="1" applyFont="1" applyNumberFormat="1">
      <alignment horizontal="center" readingOrder="0" vertical="bottom"/>
    </xf>
    <xf borderId="7" fillId="4" fontId="6" numFmtId="10" xfId="0" applyAlignment="1" applyBorder="1" applyFill="1" applyFont="1" applyNumberFormat="1">
      <alignment horizontal="center" readingOrder="0" vertical="bottom"/>
    </xf>
    <xf borderId="12" fillId="4" fontId="7" numFmtId="10" xfId="0" applyAlignment="1" applyBorder="1" applyFill="1" applyFont="1" applyNumberFormat="1">
      <alignment horizontal="center" readingOrder="0" vertical="bottom"/>
    </xf>
    <xf borderId="7" fillId="4" fontId="8" numFmtId="10" xfId="0" applyAlignment="1" applyBorder="1" applyFill="1" applyFont="1" applyNumberFormat="1">
      <alignment horizontal="center" readingOrder="0" vertical="bottom"/>
    </xf>
    <xf borderId="7" fillId="4" fontId="7" numFmtId="10" xfId="0" applyAlignment="1" applyBorder="1" applyFill="1" applyFont="1" applyNumberFormat="1">
      <alignment horizontal="center" readingOrder="0" vertical="bottom"/>
    </xf>
    <xf borderId="13" fillId="4" fontId="4" numFmtId="10" xfId="0" applyAlignment="1" applyBorder="1" applyFill="1" applyFont="1" applyNumberFormat="1">
      <alignment horizontal="center" readingOrder="0" vertical="bottom"/>
    </xf>
    <xf borderId="8" fillId="5" fontId="5" numFmtId="0" xfId="0" applyAlignment="1" applyBorder="1" applyFill="1" applyFont="1">
      <alignment horizontal="center" readingOrder="0" vertical="bottom"/>
    </xf>
    <xf borderId="9" fillId="5" fontId="5" numFmtId="0" xfId="0" applyAlignment="1" applyBorder="1" applyFill="1" applyFont="1">
      <alignment readingOrder="0" vertical="bottom"/>
    </xf>
    <xf borderId="8" fillId="5" fontId="6" numFmtId="3" xfId="0" applyAlignment="1" applyBorder="1" applyFill="1" applyFont="1" applyNumberFormat="1">
      <alignment horizontal="center" readingOrder="0" vertical="bottom"/>
    </xf>
    <xf borderId="10" fillId="5" fontId="4" numFmtId="3" xfId="0" applyAlignment="1" applyBorder="1" applyFill="1" applyFont="1" applyNumberFormat="1">
      <alignment horizontal="center" readingOrder="0" vertical="bottom"/>
    </xf>
    <xf borderId="13" fillId="5" fontId="4" numFmtId="10" xfId="0" applyAlignment="1" applyBorder="1" applyFill="1" applyFont="1" applyNumberFormat="1">
      <alignment horizontal="center" readingOrder="0" vertical="bottom"/>
    </xf>
    <xf borderId="11" fillId="5" fontId="6" numFmtId="10" xfId="0" applyAlignment="1" applyBorder="1" applyFill="1" applyFont="1" applyNumberFormat="1">
      <alignment horizontal="center" readingOrder="0" vertical="bottom"/>
    </xf>
    <xf borderId="9" fillId="5" fontId="7" numFmtId="10" xfId="0" applyAlignment="1" applyBorder="1" applyFill="1" applyFont="1" applyNumberFormat="1">
      <alignment horizontal="center" readingOrder="0" vertical="bottom"/>
    </xf>
    <xf borderId="9" fillId="5" fontId="8" numFmtId="10" xfId="0" applyAlignment="1" applyBorder="1" applyFill="1" applyFont="1" applyNumberFormat="1">
      <alignment horizontal="center" readingOrder="0" vertical="bottom"/>
    </xf>
    <xf borderId="10" fillId="5" fontId="6" numFmtId="3" xfId="0" applyAlignment="1" applyBorder="1" applyFill="1" applyFont="1" applyNumberFormat="1">
      <alignment horizontal="center" readingOrder="0" vertical="bottom"/>
    </xf>
    <xf borderId="12" fillId="5" fontId="8" numFmtId="10" xfId="0" applyAlignment="1" applyBorder="1" applyFill="1" applyFont="1" applyNumberFormat="1">
      <alignment horizontal="center" readingOrder="0" vertical="bottom"/>
    </xf>
    <xf borderId="7" fillId="5" fontId="6" numFmtId="3" xfId="0" applyAlignment="1" applyBorder="1" applyFill="1" applyFont="1" applyNumberFormat="1">
      <alignment horizontal="center" readingOrder="0" vertical="bottom"/>
    </xf>
    <xf borderId="7" fillId="5" fontId="6" numFmtId="10" xfId="0" applyAlignment="1" applyBorder="1" applyFill="1" applyFont="1" applyNumberFormat="1">
      <alignment horizontal="center" readingOrder="0" vertical="bottom"/>
    </xf>
    <xf borderId="12" fillId="5" fontId="7" numFmtId="10" xfId="0" applyAlignment="1" applyBorder="1" applyFill="1" applyFont="1" applyNumberFormat="1">
      <alignment horizontal="center" readingOrder="0" vertical="bottom"/>
    </xf>
    <xf borderId="7" fillId="5" fontId="8" numFmtId="10" xfId="0" applyAlignment="1" applyBorder="1" applyFill="1" applyFont="1" applyNumberFormat="1">
      <alignment horizontal="center" readingOrder="0" vertical="bottom"/>
    </xf>
    <xf borderId="7" fillId="5" fontId="7" numFmtId="10" xfId="0" applyAlignment="1" applyBorder="1" applyFill="1" applyFont="1" applyNumberFormat="1">
      <alignment horizontal="center" readingOrder="0" vertical="bottom"/>
    </xf>
    <xf borderId="0" fillId="0" fontId="7" numFmtId="10" xfId="0" applyAlignment="1" applyFont="1" applyNumberFormat="1">
      <alignment horizontal="center" readingOrder="0" vertical="bottom"/>
    </xf>
    <xf borderId="9" fillId="5" fontId="9" numFmtId="10" xfId="0" applyAlignment="1" applyBorder="1" applyFill="1" applyFont="1" applyNumberFormat="1">
      <alignment horizontal="center" readingOrder="0" vertical="bottom"/>
    </xf>
    <xf borderId="8" fillId="6" fontId="5" numFmtId="0" xfId="0" applyAlignment="1" applyBorder="1" applyFill="1" applyFont="1">
      <alignment horizontal="center" readingOrder="0" vertical="bottom"/>
    </xf>
    <xf borderId="9" fillId="6" fontId="5" numFmtId="0" xfId="0" applyAlignment="1" applyBorder="1" applyFill="1" applyFont="1">
      <alignment readingOrder="0" vertical="bottom"/>
    </xf>
    <xf borderId="8" fillId="6" fontId="6" numFmtId="3" xfId="0" applyAlignment="1" applyBorder="1" applyFill="1" applyFont="1" applyNumberFormat="1">
      <alignment horizontal="center" readingOrder="0" vertical="bottom"/>
    </xf>
    <xf borderId="10" fillId="6" fontId="4" numFmtId="3" xfId="0" applyAlignment="1" applyBorder="1" applyFill="1" applyFont="1" applyNumberFormat="1">
      <alignment horizontal="center" readingOrder="0" vertical="bottom"/>
    </xf>
    <xf borderId="13" fillId="6" fontId="4" numFmtId="10" xfId="0" applyAlignment="1" applyBorder="1" applyFill="1" applyFont="1" applyNumberFormat="1">
      <alignment horizontal="center" readingOrder="0" vertical="bottom"/>
    </xf>
    <xf borderId="11" fillId="6" fontId="6" numFmtId="10" xfId="0" applyAlignment="1" applyBorder="1" applyFill="1" applyFont="1" applyNumberFormat="1">
      <alignment horizontal="center" readingOrder="0" vertical="bottom"/>
    </xf>
    <xf borderId="9" fillId="6" fontId="9" numFmtId="10" xfId="0" applyAlignment="1" applyBorder="1" applyFill="1" applyFont="1" applyNumberFormat="1">
      <alignment horizontal="center" readingOrder="0" vertical="bottom"/>
    </xf>
    <xf borderId="9" fillId="6" fontId="8" numFmtId="10" xfId="0" applyAlignment="1" applyBorder="1" applyFill="1" applyFont="1" applyNumberFormat="1">
      <alignment horizontal="center" readingOrder="0" vertical="bottom"/>
    </xf>
    <xf borderId="10" fillId="6" fontId="6" numFmtId="3" xfId="0" applyAlignment="1" applyBorder="1" applyFill="1" applyFont="1" applyNumberFormat="1">
      <alignment horizontal="center" readingOrder="0" vertical="bottom"/>
    </xf>
    <xf borderId="12" fillId="6" fontId="8" numFmtId="10" xfId="0" applyAlignment="1" applyBorder="1" applyFill="1" applyFont="1" applyNumberFormat="1">
      <alignment horizontal="center" readingOrder="0" vertical="bottom"/>
    </xf>
    <xf borderId="7" fillId="6" fontId="6" numFmtId="3" xfId="0" applyAlignment="1" applyBorder="1" applyFill="1" applyFont="1" applyNumberFormat="1">
      <alignment horizontal="center" readingOrder="0" vertical="bottom"/>
    </xf>
    <xf borderId="7" fillId="6" fontId="6" numFmtId="10" xfId="0" applyAlignment="1" applyBorder="1" applyFill="1" applyFont="1" applyNumberFormat="1">
      <alignment horizontal="center" readingOrder="0" vertical="bottom"/>
    </xf>
    <xf borderId="12" fillId="6" fontId="7" numFmtId="10" xfId="0" applyAlignment="1" applyBorder="1" applyFill="1" applyFont="1" applyNumberFormat="1">
      <alignment horizontal="center" readingOrder="0" vertical="bottom"/>
    </xf>
    <xf borderId="7" fillId="6" fontId="8" numFmtId="10" xfId="0" applyAlignment="1" applyBorder="1" applyFill="1" applyFont="1" applyNumberFormat="1">
      <alignment horizontal="center" readingOrder="0" vertical="bottom"/>
    </xf>
    <xf borderId="7" fillId="6" fontId="7" numFmtId="10" xfId="0" applyAlignment="1" applyBorder="1" applyFill="1" applyFont="1" applyNumberFormat="1">
      <alignment horizontal="center" readingOrder="0" vertical="bottom"/>
    </xf>
    <xf borderId="9" fillId="6" fontId="7" numFmtId="10" xfId="0" applyAlignment="1" applyBorder="1" applyFill="1" applyFont="1" applyNumberFormat="1">
      <alignment horizontal="center" readingOrder="0" vertical="bottom"/>
    </xf>
    <xf borderId="8" fillId="7" fontId="5" numFmtId="0" xfId="0" applyAlignment="1" applyBorder="1" applyFill="1" applyFont="1">
      <alignment horizontal="center" readingOrder="0" vertical="bottom"/>
    </xf>
    <xf borderId="9" fillId="7" fontId="5" numFmtId="0" xfId="0" applyAlignment="1" applyBorder="1" applyFill="1" applyFont="1">
      <alignment readingOrder="0" vertical="bottom"/>
    </xf>
    <xf borderId="8" fillId="7" fontId="6" numFmtId="3" xfId="0" applyAlignment="1" applyBorder="1" applyFill="1" applyFont="1" applyNumberFormat="1">
      <alignment horizontal="center" readingOrder="0" vertical="bottom"/>
    </xf>
    <xf borderId="10" fillId="7" fontId="4" numFmtId="3" xfId="0" applyAlignment="1" applyBorder="1" applyFill="1" applyFont="1" applyNumberFormat="1">
      <alignment horizontal="center" readingOrder="0" vertical="bottom"/>
    </xf>
    <xf borderId="13" fillId="7" fontId="4" numFmtId="10" xfId="0" applyAlignment="1" applyBorder="1" applyFill="1" applyFont="1" applyNumberFormat="1">
      <alignment horizontal="center" readingOrder="0" vertical="bottom"/>
    </xf>
    <xf borderId="11" fillId="7" fontId="6" numFmtId="10" xfId="0" applyAlignment="1" applyBorder="1" applyFill="1" applyFont="1" applyNumberFormat="1">
      <alignment horizontal="center" readingOrder="0" vertical="bottom"/>
    </xf>
    <xf borderId="9" fillId="7" fontId="7" numFmtId="10" xfId="0" applyAlignment="1" applyBorder="1" applyFill="1" applyFont="1" applyNumberFormat="1">
      <alignment horizontal="center" readingOrder="0" vertical="bottom"/>
    </xf>
    <xf borderId="10" fillId="7" fontId="6" numFmtId="3" xfId="0" applyAlignment="1" applyBorder="1" applyFill="1" applyFont="1" applyNumberFormat="1">
      <alignment horizontal="center" readingOrder="0" vertical="bottom"/>
    </xf>
    <xf borderId="12" fillId="7" fontId="8" numFmtId="10" xfId="0" applyAlignment="1" applyBorder="1" applyFill="1" applyFont="1" applyNumberFormat="1">
      <alignment horizontal="center" readingOrder="0" vertical="bottom"/>
    </xf>
    <xf borderId="7" fillId="7" fontId="6" numFmtId="3" xfId="0" applyAlignment="1" applyBorder="1" applyFill="1" applyFont="1" applyNumberFormat="1">
      <alignment horizontal="center" readingOrder="0" vertical="bottom"/>
    </xf>
    <xf borderId="7" fillId="7" fontId="6" numFmtId="10" xfId="0" applyAlignment="1" applyBorder="1" applyFill="1" applyFont="1" applyNumberFormat="1">
      <alignment horizontal="center" readingOrder="0" vertical="bottom"/>
    </xf>
    <xf borderId="9" fillId="7" fontId="8" numFmtId="10" xfId="0" applyAlignment="1" applyBorder="1" applyFill="1" applyFont="1" applyNumberFormat="1">
      <alignment horizontal="center" readingOrder="0" vertical="bottom"/>
    </xf>
    <xf borderId="12" fillId="7" fontId="7" numFmtId="10" xfId="0" applyAlignment="1" applyBorder="1" applyFill="1" applyFont="1" applyNumberFormat="1">
      <alignment horizontal="center" readingOrder="0" vertical="bottom"/>
    </xf>
    <xf borderId="7" fillId="7" fontId="7" numFmtId="10" xfId="0" applyAlignment="1" applyBorder="1" applyFill="1" applyFont="1" applyNumberFormat="1">
      <alignment horizontal="center" readingOrder="0" vertical="bottom"/>
    </xf>
    <xf borderId="7" fillId="7" fontId="8" numFmtId="10" xfId="0" applyAlignment="1" applyBorder="1" applyFill="1" applyFont="1" applyNumberFormat="1">
      <alignment horizontal="center" readingOrder="0" vertical="bottom"/>
    </xf>
    <xf borderId="8" fillId="8" fontId="5" numFmtId="0" xfId="0" applyAlignment="1" applyBorder="1" applyFill="1" applyFont="1">
      <alignment horizontal="center" readingOrder="0" vertical="bottom"/>
    </xf>
    <xf borderId="9" fillId="8" fontId="5" numFmtId="0" xfId="0" applyAlignment="1" applyBorder="1" applyFill="1" applyFont="1">
      <alignment readingOrder="0" vertical="bottom"/>
    </xf>
    <xf borderId="8" fillId="8" fontId="10" numFmtId="3" xfId="0" applyAlignment="1" applyBorder="1" applyFill="1" applyFont="1" applyNumberFormat="1">
      <alignment horizontal="center" readingOrder="0" vertical="bottom"/>
    </xf>
    <xf borderId="10" fillId="8" fontId="4" numFmtId="3" xfId="0" applyAlignment="1" applyBorder="1" applyFill="1" applyFont="1" applyNumberFormat="1">
      <alignment horizontal="center" readingOrder="0" vertical="bottom"/>
    </xf>
    <xf borderId="13" fillId="8" fontId="10" numFmtId="10" xfId="0" applyAlignment="1" applyBorder="1" applyFill="1" applyFont="1" applyNumberFormat="1">
      <alignment horizontal="center" readingOrder="0" vertical="bottom"/>
    </xf>
    <xf borderId="11" fillId="8" fontId="8" numFmtId="10" xfId="0" applyAlignment="1" applyBorder="1" applyFill="1" applyFont="1" applyNumberFormat="1">
      <alignment horizontal="center" readingOrder="0" vertical="bottom"/>
    </xf>
    <xf borderId="9" fillId="8" fontId="10" numFmtId="10" xfId="0" applyAlignment="1" applyBorder="1" applyFill="1" applyFont="1" applyNumberFormat="1">
      <alignment horizontal="center" readingOrder="0" vertical="bottom"/>
    </xf>
    <xf borderId="9" fillId="8" fontId="7" numFmtId="10" xfId="0" applyAlignment="1" applyBorder="1" applyFill="1" applyFont="1" applyNumberFormat="1">
      <alignment horizontal="center" readingOrder="0" vertical="bottom"/>
    </xf>
    <xf borderId="10" fillId="8" fontId="10" numFmtId="3" xfId="0" applyAlignment="1" applyBorder="1" applyFill="1" applyFont="1" applyNumberFormat="1">
      <alignment horizontal="center" readingOrder="0" vertical="bottom"/>
    </xf>
    <xf borderId="12" fillId="8" fontId="8" numFmtId="10" xfId="0" applyAlignment="1" applyBorder="1" applyFill="1" applyFont="1" applyNumberFormat="1">
      <alignment horizontal="center" readingOrder="0" vertical="bottom"/>
    </xf>
    <xf borderId="7" fillId="8" fontId="10" numFmtId="3" xfId="0" applyAlignment="1" applyBorder="1" applyFill="1" applyFont="1" applyNumberFormat="1">
      <alignment horizontal="center" readingOrder="0" vertical="bottom"/>
    </xf>
    <xf borderId="7" fillId="8" fontId="10" numFmtId="10" xfId="0" applyAlignment="1" applyBorder="1" applyFill="1" applyFont="1" applyNumberFormat="1">
      <alignment horizontal="center" readingOrder="0" vertical="bottom"/>
    </xf>
    <xf borderId="9" fillId="8" fontId="8" numFmtId="10" xfId="0" applyAlignment="1" applyBorder="1" applyFill="1" applyFont="1" applyNumberFormat="1">
      <alignment horizontal="center" readingOrder="0" vertical="bottom"/>
    </xf>
    <xf borderId="12" fillId="8" fontId="7" numFmtId="10" xfId="0" applyAlignment="1" applyBorder="1" applyFill="1" applyFont="1" applyNumberFormat="1">
      <alignment horizontal="center" readingOrder="0" vertical="bottom"/>
    </xf>
    <xf borderId="7" fillId="8" fontId="6" numFmtId="3" xfId="0" applyAlignment="1" applyBorder="1" applyFill="1" applyFont="1" applyNumberFormat="1">
      <alignment horizontal="center" readingOrder="0" vertical="bottom"/>
    </xf>
    <xf borderId="7" fillId="8" fontId="6" numFmtId="10" xfId="0" applyAlignment="1" applyBorder="1" applyFill="1" applyFont="1" applyNumberFormat="1">
      <alignment horizontal="center" readingOrder="0" vertical="bottom"/>
    </xf>
    <xf borderId="7" fillId="8" fontId="8" numFmtId="10" xfId="0" applyAlignment="1" applyBorder="1" applyFill="1" applyFont="1" applyNumberFormat="1">
      <alignment horizontal="center" readingOrder="0" vertical="bottom"/>
    </xf>
    <xf borderId="8" fillId="9" fontId="5" numFmtId="0" xfId="0" applyAlignment="1" applyBorder="1" applyFill="1" applyFont="1">
      <alignment horizontal="center" readingOrder="0" vertical="bottom"/>
    </xf>
    <xf borderId="9" fillId="9" fontId="5" numFmtId="0" xfId="0" applyAlignment="1" applyBorder="1" applyFill="1" applyFont="1">
      <alignment readingOrder="0" vertical="bottom"/>
    </xf>
    <xf borderId="8" fillId="9" fontId="6" numFmtId="3" xfId="0" applyAlignment="1" applyBorder="1" applyFill="1" applyFont="1" applyNumberFormat="1">
      <alignment horizontal="center" readingOrder="0"/>
    </xf>
    <xf borderId="10" fillId="9" fontId="4" numFmtId="3" xfId="0" applyAlignment="1" applyBorder="1" applyFill="1" applyFont="1" applyNumberFormat="1">
      <alignment horizontal="center" readingOrder="0" vertical="bottom"/>
    </xf>
    <xf borderId="13" fillId="9" fontId="4" numFmtId="10" xfId="0" applyAlignment="1" applyBorder="1" applyFill="1" applyFont="1" applyNumberFormat="1">
      <alignment horizontal="center" readingOrder="0" vertical="bottom"/>
    </xf>
    <xf borderId="8" fillId="9" fontId="6" numFmtId="3" xfId="0" applyAlignment="1" applyBorder="1" applyFill="1" applyFont="1" applyNumberFormat="1">
      <alignment horizontal="center" readingOrder="0" vertical="bottom"/>
    </xf>
    <xf borderId="11" fillId="9" fontId="6" numFmtId="10" xfId="0" applyAlignment="1" applyBorder="1" applyFill="1" applyFont="1" applyNumberFormat="1">
      <alignment horizontal="center" readingOrder="0" vertical="bottom"/>
    </xf>
    <xf borderId="9" fillId="9" fontId="7" numFmtId="10" xfId="0" applyAlignment="1" applyBorder="1" applyFill="1" applyFont="1" applyNumberFormat="1">
      <alignment horizontal="center" readingOrder="0" vertical="bottom"/>
    </xf>
    <xf borderId="9" fillId="9" fontId="8" numFmtId="10" xfId="0" applyAlignment="1" applyBorder="1" applyFill="1" applyFont="1" applyNumberFormat="1">
      <alignment horizontal="center" readingOrder="0" vertical="bottom"/>
    </xf>
    <xf borderId="10" fillId="9" fontId="6" numFmtId="3" xfId="0" applyAlignment="1" applyBorder="1" applyFill="1" applyFont="1" applyNumberFormat="1">
      <alignment horizontal="center" readingOrder="0" vertical="bottom"/>
    </xf>
    <xf borderId="12" fillId="9" fontId="8" numFmtId="10" xfId="0" applyAlignment="1" applyBorder="1" applyFill="1" applyFont="1" applyNumberFormat="1">
      <alignment horizontal="center" readingOrder="0" vertical="bottom"/>
    </xf>
    <xf borderId="7" fillId="9" fontId="6" numFmtId="3" xfId="0" applyAlignment="1" applyBorder="1" applyFill="1" applyFont="1" applyNumberFormat="1">
      <alignment horizontal="center" readingOrder="0" vertical="bottom"/>
    </xf>
    <xf borderId="7" fillId="9" fontId="6" numFmtId="10" xfId="0" applyAlignment="1" applyBorder="1" applyFill="1" applyFont="1" applyNumberFormat="1">
      <alignment horizontal="center" readingOrder="0" vertical="bottom"/>
    </xf>
    <xf borderId="7" fillId="9" fontId="8" numFmtId="10" xfId="0" applyAlignment="1" applyBorder="1" applyFill="1" applyFont="1" applyNumberFormat="1">
      <alignment horizontal="center" readingOrder="0" vertical="bottom"/>
    </xf>
    <xf borderId="7" fillId="9" fontId="7" numFmtId="10" xfId="0" applyAlignment="1" applyBorder="1" applyFill="1" applyFont="1" applyNumberFormat="1">
      <alignment horizontal="center" readingOrder="0" vertical="bottom"/>
    </xf>
    <xf borderId="9" fillId="9" fontId="9" numFmtId="10" xfId="0" applyAlignment="1" applyBorder="1" applyFill="1" applyFont="1" applyNumberFormat="1">
      <alignment horizontal="center" readingOrder="0" vertical="bottom"/>
    </xf>
    <xf borderId="12" fillId="9" fontId="7" numFmtId="10" xfId="0" applyAlignment="1" applyBorder="1" applyFill="1" applyFont="1" applyNumberFormat="1">
      <alignment horizontal="center" readingOrder="0" vertical="bottom"/>
    </xf>
    <xf borderId="14" fillId="5" fontId="5" numFmtId="0" xfId="0" applyAlignment="1" applyBorder="1" applyFill="1" applyFont="1">
      <alignment horizontal="center" readingOrder="0" vertical="bottom"/>
    </xf>
    <xf borderId="15" fillId="5" fontId="5" numFmtId="0" xfId="0" applyAlignment="1" applyBorder="1" applyFill="1" applyFont="1">
      <alignment readingOrder="0" vertical="bottom"/>
    </xf>
    <xf borderId="14" fillId="5" fontId="6" numFmtId="3" xfId="0" applyAlignment="1" applyBorder="1" applyFill="1" applyFont="1" applyNumberFormat="1">
      <alignment horizontal="center" readingOrder="0" vertical="bottom"/>
    </xf>
    <xf borderId="16" fillId="5" fontId="4" numFmtId="3" xfId="0" applyAlignment="1" applyBorder="1" applyFill="1" applyFont="1" applyNumberFormat="1">
      <alignment horizontal="center" readingOrder="0" vertical="bottom"/>
    </xf>
    <xf borderId="17" fillId="5" fontId="4" numFmtId="10" xfId="0" applyAlignment="1" applyBorder="1" applyFill="1" applyFont="1" applyNumberFormat="1">
      <alignment horizontal="center" readingOrder="0" vertical="bottom"/>
    </xf>
    <xf borderId="18" fillId="5" fontId="6" numFmtId="10" xfId="0" applyAlignment="1" applyBorder="1" applyFill="1" applyFont="1" applyNumberFormat="1">
      <alignment horizontal="center" readingOrder="0" vertical="bottom"/>
    </xf>
    <xf borderId="15" fillId="5" fontId="9" numFmtId="10" xfId="0" applyAlignment="1" applyBorder="1" applyFill="1" applyFont="1" applyNumberFormat="1">
      <alignment horizontal="center" readingOrder="0" vertical="bottom"/>
    </xf>
    <xf borderId="15" fillId="5" fontId="8" numFmtId="10" xfId="0" applyAlignment="1" applyBorder="1" applyFill="1" applyFont="1" applyNumberFormat="1">
      <alignment horizontal="center" readingOrder="0" vertical="bottom"/>
    </xf>
    <xf borderId="16" fillId="5" fontId="6" numFmtId="3" xfId="0" applyAlignment="1" applyBorder="1" applyFill="1" applyFont="1" applyNumberFormat="1">
      <alignment horizontal="center" readingOrder="0" vertical="bottom"/>
    </xf>
    <xf borderId="19" fillId="5" fontId="8" numFmtId="10" xfId="0" applyAlignment="1" applyBorder="1" applyFill="1" applyFont="1" applyNumberFormat="1">
      <alignment horizontal="center" readingOrder="0" vertical="bottom"/>
    </xf>
    <xf borderId="15" fillId="5" fontId="7" numFmtId="10" xfId="0" applyAlignment="1" applyBorder="1" applyFill="1" applyFont="1" applyNumberFormat="1">
      <alignment horizontal="center" readingOrder="0" vertical="bottom"/>
    </xf>
    <xf borderId="20" fillId="10" fontId="3" numFmtId="0" xfId="0" applyAlignment="1" applyBorder="1" applyFill="1" applyFont="1">
      <alignment horizontal="center" readingOrder="0" vertical="bottom"/>
    </xf>
    <xf borderId="21" fillId="10" fontId="3" numFmtId="0" xfId="0" applyAlignment="1" applyBorder="1" applyFill="1" applyFont="1">
      <alignment horizontal="center" vertical="bottom"/>
    </xf>
    <xf borderId="22" fillId="10" fontId="3" numFmtId="3" xfId="0" applyAlignment="1" applyBorder="1" applyFill="1" applyFont="1" applyNumberFormat="1">
      <alignment horizontal="center" readingOrder="0" vertical="bottom"/>
    </xf>
    <xf borderId="23" fillId="10" fontId="3" numFmtId="3" xfId="0" applyAlignment="1" applyBorder="1" applyFill="1" applyFont="1" applyNumberFormat="1">
      <alignment horizontal="center" readingOrder="0" vertical="bottom"/>
    </xf>
    <xf borderId="24" fillId="10" fontId="2" numFmtId="10" xfId="0" applyAlignment="1" applyBorder="1" applyFill="1" applyFont="1" applyNumberFormat="1">
      <alignment vertical="bottom"/>
    </xf>
    <xf borderId="25" fillId="10" fontId="2" numFmtId="10" xfId="0" applyAlignment="1" applyBorder="1" applyFill="1" applyFont="1" applyNumberFormat="1">
      <alignment vertical="bottom"/>
    </xf>
    <xf borderId="26" fillId="10" fontId="3" numFmtId="3" xfId="0" applyAlignment="1" applyBorder="1" applyFill="1" applyFont="1" applyNumberFormat="1">
      <alignment horizontal="center" readingOrder="0" vertical="bottom"/>
    </xf>
    <xf borderId="20" fillId="10" fontId="2" numFmtId="10" xfId="0" applyAlignment="1" applyBorder="1" applyFill="1" applyFont="1" applyNumberFormat="1">
      <alignment vertical="bottom"/>
    </xf>
    <xf borderId="7" fillId="10" fontId="3" numFmtId="3" xfId="0" applyAlignment="1" applyBorder="1" applyFill="1" applyFont="1" applyNumberFormat="1">
      <alignment horizontal="center" readingOrder="0" vertical="bottom"/>
    </xf>
    <xf borderId="7" fillId="10" fontId="2" numFmtId="10" xfId="0" applyAlignment="1" applyBorder="1" applyFill="1" applyFont="1" applyNumberForma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horizontal="center"/>
    </xf>
    <xf borderId="0" fillId="0" fontId="12" numFmtId="10" xfId="0" applyFont="1" applyNumberFormat="1"/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3" xfId="0" applyAlignment="1" applyFont="1" applyNumberFormat="1">
      <alignment readingOrder="0"/>
    </xf>
    <xf borderId="0" fillId="0" fontId="12" numFmtId="10" xfId="0" applyAlignment="1" applyFont="1" applyNumberFormat="1">
      <alignment readingOrder="0"/>
    </xf>
    <xf borderId="0" fillId="0" fontId="12" numFmtId="10" xfId="0" applyAlignment="1" applyFont="1" applyNumberFormat="1">
      <alignment horizontal="right"/>
    </xf>
    <xf borderId="0" fillId="0" fontId="12" numFmtId="3" xfId="0" applyAlignment="1" applyFont="1" applyNumberFormat="1">
      <alignment horizontal="right" readingOrder="0"/>
    </xf>
    <xf borderId="0" fillId="0" fontId="12" numFmtId="10" xfId="0" applyAlignment="1" applyFont="1" applyNumberFormat="1">
      <alignment horizontal="right" readingOrder="0"/>
    </xf>
    <xf borderId="7" fillId="0" fontId="13" numFmtId="0" xfId="0" applyAlignment="1" applyBorder="1" applyFont="1">
      <alignment horizontal="center" readingOrder="0" shrinkToFit="0" wrapText="0"/>
    </xf>
    <xf borderId="27" fillId="0" fontId="13" numFmtId="0" xfId="0" applyAlignment="1" applyBorder="1" applyFont="1">
      <alignment horizontal="center" readingOrder="0" shrinkToFit="0" wrapText="0"/>
    </xf>
    <xf borderId="28" fillId="0" fontId="14" numFmtId="0" xfId="0" applyBorder="1" applyFont="1"/>
    <xf borderId="29" fillId="0" fontId="14" numFmtId="0" xfId="0" applyBorder="1" applyFont="1"/>
    <xf borderId="0" fillId="0" fontId="15" numFmtId="0" xfId="0" applyAlignment="1" applyFont="1">
      <alignment shrinkToFit="0" vertical="bottom" wrapText="0"/>
    </xf>
    <xf borderId="7" fillId="0" fontId="16" numFmtId="0" xfId="0" applyAlignment="1" applyBorder="1" applyFont="1">
      <alignment horizontal="center" readingOrder="0" shrinkToFit="0" vertical="top" wrapText="0"/>
    </xf>
    <xf borderId="7" fillId="0" fontId="17" numFmtId="0" xfId="0" applyAlignment="1" applyBorder="1" applyFont="1">
      <alignment horizontal="center" readingOrder="0" shrinkToFit="0" vertical="top" wrapText="0"/>
    </xf>
    <xf borderId="7" fillId="2" fontId="17" numFmtId="0" xfId="0" applyAlignment="1" applyBorder="1" applyFill="1" applyFont="1">
      <alignment horizontal="center" readingOrder="0" shrinkToFit="0" vertical="top" wrapText="0"/>
    </xf>
    <xf borderId="7" fillId="2" fontId="17" numFmtId="10" xfId="0" applyAlignment="1" applyBorder="1" applyFill="1" applyFont="1" applyNumberFormat="1">
      <alignment horizontal="center" readingOrder="0" shrinkToFit="0" vertical="top" wrapText="0"/>
    </xf>
    <xf borderId="7" fillId="4" fontId="17" numFmtId="0" xfId="0" applyAlignment="1" applyBorder="1" applyFill="1" applyFont="1">
      <alignment horizontal="center" readingOrder="0" shrinkToFit="0" vertical="top" wrapText="0"/>
    </xf>
    <xf borderId="7" fillId="4" fontId="17" numFmtId="10" xfId="0" applyAlignment="1" applyBorder="1" applyFill="1" applyFont="1" applyNumberFormat="1">
      <alignment horizontal="center" readingOrder="0" shrinkToFit="0" vertical="top" wrapText="0"/>
    </xf>
    <xf borderId="7" fillId="3" fontId="17" numFmtId="0" xfId="0" applyAlignment="1" applyBorder="1" applyFill="1" applyFont="1">
      <alignment horizontal="center" readingOrder="0" shrinkToFit="0" vertical="top" wrapText="0"/>
    </xf>
    <xf borderId="7" fillId="5" fontId="17" numFmtId="0" xfId="0" applyAlignment="1" applyBorder="1" applyFill="1" applyFont="1">
      <alignment horizontal="center" readingOrder="0" shrinkToFit="0" vertical="top" wrapText="0"/>
    </xf>
    <xf borderId="7" fillId="11" fontId="17" numFmtId="0" xfId="0" applyAlignment="1" applyBorder="1" applyFill="1" applyFont="1">
      <alignment horizontal="center" readingOrder="0" shrinkToFit="0" vertical="top" wrapText="1"/>
    </xf>
    <xf borderId="7" fillId="3" fontId="17" numFmtId="0" xfId="0" applyAlignment="1" applyBorder="1" applyFill="1" applyFont="1">
      <alignment horizontal="center" readingOrder="0" shrinkToFit="0" vertical="top" wrapText="1"/>
    </xf>
    <xf borderId="7" fillId="7" fontId="17" numFmtId="0" xfId="0" applyAlignment="1" applyBorder="1" applyFill="1" applyFont="1">
      <alignment horizontal="center" readingOrder="0" shrinkToFit="0" vertical="top" wrapText="0"/>
    </xf>
    <xf borderId="7" fillId="7" fontId="17" numFmtId="0" xfId="0" applyAlignment="1" applyBorder="1" applyFill="1" applyFont="1">
      <alignment horizontal="center" readingOrder="0" shrinkToFit="0" vertical="top" wrapText="1"/>
    </xf>
    <xf borderId="7" fillId="9" fontId="17" numFmtId="0" xfId="0" applyAlignment="1" applyBorder="1" applyFill="1" applyFont="1">
      <alignment horizontal="center" readingOrder="0" shrinkToFit="0" vertical="top" wrapText="0"/>
    </xf>
    <xf borderId="7" fillId="9" fontId="17" numFmtId="0" xfId="0" applyAlignment="1" applyBorder="1" applyFill="1" applyFont="1">
      <alignment horizontal="center" readingOrder="0" shrinkToFit="0" vertical="top" wrapText="1"/>
    </xf>
    <xf borderId="0" fillId="0" fontId="17" numFmtId="0" xfId="0" applyAlignment="1" applyFont="1">
      <alignment horizontal="center" shrinkToFit="0" vertical="top" wrapText="0"/>
    </xf>
    <xf borderId="11" fillId="0" fontId="18" numFmtId="0" xfId="0" applyAlignment="1" applyBorder="1" applyFont="1">
      <alignment horizontal="center" readingOrder="0" shrinkToFit="0" vertical="bottom" wrapText="0"/>
    </xf>
    <xf borderId="11" fillId="0" fontId="18" numFmtId="0" xfId="0" applyAlignment="1" applyBorder="1" applyFont="1">
      <alignment horizontal="left" readingOrder="0" shrinkToFit="0" vertical="bottom" wrapText="0"/>
    </xf>
    <xf borderId="10" fillId="0" fontId="18" numFmtId="0" xfId="0" applyAlignment="1" applyBorder="1" applyFont="1">
      <alignment horizontal="center" readingOrder="0" shrinkToFit="0" vertical="bottom" wrapText="0"/>
    </xf>
    <xf borderId="10" fillId="0" fontId="18" numFmtId="10" xfId="0" applyAlignment="1" applyBorder="1" applyFont="1" applyNumberFormat="1">
      <alignment horizontal="center" readingOrder="0" shrinkToFit="0" vertical="bottom" wrapText="0"/>
    </xf>
    <xf borderId="10" fillId="0" fontId="18" numFmtId="3" xfId="0" applyAlignment="1" applyBorder="1" applyFont="1" applyNumberFormat="1">
      <alignment horizontal="center" readingOrder="0" shrinkToFit="0" vertical="bottom" wrapText="0"/>
    </xf>
    <xf borderId="10" fillId="0" fontId="15" numFmtId="10" xfId="0" applyAlignment="1" applyBorder="1" applyFont="1" applyNumberFormat="1">
      <alignment horizontal="right" readingOrder="0" shrinkToFit="0" vertical="bottom" wrapText="0"/>
    </xf>
    <xf borderId="10" fillId="0" fontId="15" numFmtId="10" xfId="0" applyAlignment="1" applyBorder="1" applyFont="1" applyNumberFormat="1">
      <alignment horizontal="center" readingOrder="0" shrinkToFit="0" vertical="bottom" wrapText="0"/>
    </xf>
    <xf borderId="10" fillId="0" fontId="15" numFmtId="3" xfId="0" applyAlignment="1" applyBorder="1" applyFont="1" applyNumberFormat="1">
      <alignment horizontal="center" readingOrder="0" shrinkToFit="0" vertical="bottom" wrapText="0"/>
    </xf>
    <xf borderId="10" fillId="2" fontId="15" numFmtId="3" xfId="0" applyAlignment="1" applyBorder="1" applyFill="1" applyFont="1" applyNumberFormat="1">
      <alignment horizontal="center" readingOrder="0" shrinkToFit="0" vertical="bottom" wrapText="0"/>
    </xf>
    <xf borderId="10" fillId="2" fontId="15" numFmtId="10" xfId="0" applyAlignment="1" applyBorder="1" applyFill="1" applyFont="1" applyNumberFormat="1">
      <alignment horizontal="center" readingOrder="0" shrinkToFit="0" vertical="bottom" wrapText="0"/>
    </xf>
    <xf borderId="10" fillId="4" fontId="15" numFmtId="3" xfId="0" applyAlignment="1" applyBorder="1" applyFill="1" applyFont="1" applyNumberFormat="1">
      <alignment horizontal="center" readingOrder="0" shrinkToFit="0" vertical="bottom" wrapText="0"/>
    </xf>
    <xf borderId="10" fillId="4" fontId="15" numFmtId="10" xfId="0" applyAlignment="1" applyBorder="1" applyFill="1" applyFont="1" applyNumberFormat="1">
      <alignment horizontal="center" readingOrder="0" shrinkToFit="0" vertical="bottom" wrapText="0"/>
    </xf>
    <xf borderId="10" fillId="3" fontId="15" numFmtId="3" xfId="0" applyAlignment="1" applyBorder="1" applyFill="1" applyFont="1" applyNumberFormat="1">
      <alignment horizontal="center" readingOrder="0" shrinkToFit="0" vertical="bottom" wrapText="0"/>
    </xf>
    <xf borderId="10" fillId="3" fontId="15" numFmtId="10" xfId="0" applyAlignment="1" applyBorder="1" applyFill="1" applyFont="1" applyNumberFormat="1">
      <alignment horizontal="center" readingOrder="0" shrinkToFit="0" vertical="bottom" wrapText="0"/>
    </xf>
    <xf borderId="10" fillId="5" fontId="15" numFmtId="3" xfId="0" applyAlignment="1" applyBorder="1" applyFill="1" applyFont="1" applyNumberFormat="1">
      <alignment horizontal="center" readingOrder="0" shrinkToFit="0" vertical="bottom" wrapText="0"/>
    </xf>
    <xf borderId="10" fillId="5" fontId="15" numFmtId="10" xfId="0" applyAlignment="1" applyBorder="1" applyFill="1" applyFont="1" applyNumberFormat="1">
      <alignment horizontal="center" readingOrder="0" shrinkToFit="0" vertical="bottom" wrapText="0"/>
    </xf>
    <xf borderId="7" fillId="11" fontId="15" numFmtId="10" xfId="0" applyAlignment="1" applyBorder="1" applyFill="1" applyFont="1" applyNumberFormat="1">
      <alignment horizontal="center" readingOrder="0" shrinkToFit="0" vertical="bottom" wrapText="0"/>
    </xf>
    <xf borderId="7" fillId="3" fontId="7" numFmtId="9" xfId="0" applyAlignment="1" applyBorder="1" applyFill="1" applyFont="1" applyNumberFormat="1">
      <alignment horizontal="center" readingOrder="0" shrinkToFit="0" vertical="bottom" wrapText="0"/>
    </xf>
    <xf borderId="10" fillId="7" fontId="15" numFmtId="3" xfId="0" applyAlignment="1" applyBorder="1" applyFill="1" applyFont="1" applyNumberFormat="1">
      <alignment horizontal="center" readingOrder="0" shrinkToFit="0" vertical="bottom" wrapText="0"/>
    </xf>
    <xf borderId="10" fillId="7" fontId="15" numFmtId="10" xfId="0" applyAlignment="1" applyBorder="1" applyFill="1" applyFont="1" applyNumberFormat="1">
      <alignment horizontal="center" readingOrder="0" shrinkToFit="0" vertical="bottom" wrapText="0"/>
    </xf>
    <xf borderId="7" fillId="7" fontId="19" numFmtId="9" xfId="0" applyAlignment="1" applyBorder="1" applyFill="1" applyFont="1" applyNumberFormat="1">
      <alignment horizontal="center" readingOrder="0" shrinkToFit="0" vertical="bottom" wrapText="0"/>
    </xf>
    <xf borderId="10" fillId="9" fontId="15" numFmtId="3" xfId="0" applyAlignment="1" applyBorder="1" applyFill="1" applyFont="1" applyNumberFormat="1">
      <alignment horizontal="center" readingOrder="0" shrinkToFit="0" vertical="bottom" wrapText="0"/>
    </xf>
    <xf borderId="10" fillId="9" fontId="15" numFmtId="10" xfId="0" applyAlignment="1" applyBorder="1" applyFill="1" applyFont="1" applyNumberFormat="1">
      <alignment horizontal="center" readingOrder="0" shrinkToFit="0" vertical="bottom" wrapText="0"/>
    </xf>
    <xf borderId="7" fillId="9" fontId="19" numFmtId="9" xfId="0" applyAlignment="1" applyBorder="1" applyFill="1" applyFont="1" applyNumberFormat="1">
      <alignment horizontal="center" readingOrder="0" shrinkToFit="0" vertical="bottom" wrapText="0"/>
    </xf>
    <xf borderId="11" fillId="2" fontId="15" numFmtId="0" xfId="0" applyAlignment="1" applyBorder="1" applyFill="1" applyFont="1">
      <alignment horizontal="center" readingOrder="0" shrinkToFit="0" wrapText="0"/>
    </xf>
    <xf borderId="7" fillId="7" fontId="7" numFmtId="9" xfId="0" applyAlignment="1" applyBorder="1" applyFill="1" applyFont="1" applyNumberFormat="1">
      <alignment horizontal="center" readingOrder="0" shrinkToFit="0" vertical="bottom" wrapText="0"/>
    </xf>
    <xf borderId="7" fillId="9" fontId="7" numFmtId="9" xfId="0" applyAlignment="1" applyBorder="1" applyFill="1" applyFont="1" applyNumberFormat="1">
      <alignment horizontal="center" readingOrder="0" shrinkToFit="0" vertical="bottom" wrapText="0"/>
    </xf>
    <xf borderId="7" fillId="11" fontId="7" numFmtId="10" xfId="0" applyAlignment="1" applyBorder="1" applyFill="1" applyFont="1" applyNumberFormat="1">
      <alignment horizontal="center" readingOrder="0" shrinkToFit="0" vertical="bottom" wrapText="0"/>
    </xf>
    <xf borderId="11" fillId="2" fontId="15" numFmtId="0" xfId="0" applyAlignment="1" applyBorder="1" applyFill="1" applyFont="1">
      <alignment horizontal="center" shrinkToFit="0" wrapText="0"/>
    </xf>
    <xf borderId="11" fillId="0" fontId="20" numFmtId="0" xfId="0" applyAlignment="1" applyBorder="1" applyFont="1">
      <alignment horizontal="left" readingOrder="0" shrinkToFit="0" vertical="bottom" wrapText="0"/>
    </xf>
    <xf borderId="10" fillId="0" fontId="20" numFmtId="0" xfId="0" applyAlignment="1" applyBorder="1" applyFont="1">
      <alignment horizontal="center" shrinkToFit="0" vertical="bottom" wrapText="0"/>
    </xf>
    <xf borderId="10" fillId="0" fontId="10" numFmtId="0" xfId="0" applyAlignment="1" applyBorder="1" applyFont="1">
      <alignment shrinkToFit="0" vertical="bottom" wrapText="0"/>
    </xf>
    <xf borderId="10" fillId="0" fontId="10" numFmtId="0" xfId="0" applyAlignment="1" applyBorder="1" applyFont="1">
      <alignment horizontal="center" shrinkToFit="0" vertical="bottom" wrapText="0"/>
    </xf>
    <xf borderId="10" fillId="2" fontId="10" numFmtId="3" xfId="0" applyAlignment="1" applyBorder="1" applyFill="1" applyFont="1" applyNumberFormat="1">
      <alignment horizontal="center" readingOrder="0" shrinkToFit="0" vertical="bottom" wrapText="0"/>
    </xf>
    <xf borderId="10" fillId="4" fontId="10" numFmtId="3" xfId="0" applyAlignment="1" applyBorder="1" applyFill="1" applyFont="1" applyNumberFormat="1">
      <alignment horizontal="center" readingOrder="0" shrinkToFit="0" vertical="bottom" wrapText="0"/>
    </xf>
    <xf borderId="10" fillId="3" fontId="10" numFmtId="3" xfId="0" applyAlignment="1" applyBorder="1" applyFill="1" applyFont="1" applyNumberFormat="1">
      <alignment horizontal="center" readingOrder="0" shrinkToFit="0" vertical="bottom" wrapText="0"/>
    </xf>
    <xf borderId="10" fillId="3" fontId="10" numFmtId="10" xfId="0" applyAlignment="1" applyBorder="1" applyFill="1" applyFont="1" applyNumberFormat="1">
      <alignment horizontal="center" readingOrder="0" shrinkToFit="0" vertical="bottom" wrapText="0"/>
    </xf>
    <xf borderId="10" fillId="5" fontId="10" numFmtId="3" xfId="0" applyAlignment="1" applyBorder="1" applyFill="1" applyFont="1" applyNumberFormat="1">
      <alignment horizontal="center" readingOrder="0" shrinkToFit="0" vertical="bottom" wrapText="0"/>
    </xf>
    <xf borderId="10" fillId="5" fontId="10" numFmtId="10" xfId="0" applyAlignment="1" applyBorder="1" applyFill="1" applyFont="1" applyNumberFormat="1">
      <alignment horizontal="center" readingOrder="0" shrinkToFit="0" vertical="bottom" wrapText="0"/>
    </xf>
    <xf borderId="10" fillId="4" fontId="10" numFmtId="10" xfId="0" applyAlignment="1" applyBorder="1" applyFill="1" applyFont="1" applyNumberFormat="1">
      <alignment horizontal="center" readingOrder="0" shrinkToFit="0" vertical="bottom" wrapText="0"/>
    </xf>
    <xf borderId="7" fillId="3" fontId="21" numFmtId="9" xfId="0" applyAlignment="1" applyBorder="1" applyFill="1" applyFont="1" applyNumberFormat="1">
      <alignment horizontal="center" readingOrder="0" shrinkToFit="0" vertical="bottom" wrapText="0"/>
    </xf>
    <xf borderId="10" fillId="7" fontId="10" numFmtId="3" xfId="0" applyAlignment="1" applyBorder="1" applyFill="1" applyFont="1" applyNumberFormat="1">
      <alignment horizontal="center" readingOrder="0" shrinkToFit="0" vertical="bottom" wrapText="0"/>
    </xf>
    <xf borderId="10" fillId="7" fontId="10" numFmtId="10" xfId="0" applyAlignment="1" applyBorder="1" applyFill="1" applyFont="1" applyNumberFormat="1">
      <alignment horizontal="center" readingOrder="0" shrinkToFit="0" vertical="bottom" wrapText="0"/>
    </xf>
    <xf borderId="7" fillId="7" fontId="21" numFmtId="9" xfId="0" applyAlignment="1" applyBorder="1" applyFill="1" applyFont="1" applyNumberFormat="1">
      <alignment horizontal="center" readingOrder="0" shrinkToFit="0" vertical="bottom" wrapText="0"/>
    </xf>
    <xf borderId="10" fillId="9" fontId="10" numFmtId="3" xfId="0" applyAlignment="1" applyBorder="1" applyFill="1" applyFont="1" applyNumberFormat="1">
      <alignment horizontal="center" readingOrder="0" shrinkToFit="0" vertical="bottom" wrapText="0"/>
    </xf>
    <xf borderId="10" fillId="9" fontId="10" numFmtId="10" xfId="0" applyAlignment="1" applyBorder="1" applyFill="1" applyFont="1" applyNumberFormat="1">
      <alignment horizontal="center" readingOrder="0" shrinkToFit="0" vertical="bottom" wrapText="0"/>
    </xf>
    <xf borderId="7" fillId="9" fontId="21" numFmtId="9" xfId="0" applyAlignment="1" applyBorder="1" applyFill="1" applyFont="1" applyNumberFormat="1">
      <alignment horizontal="center" readingOrder="0" shrinkToFit="0" vertical="bottom" wrapText="0"/>
    </xf>
    <xf borderId="11" fillId="2" fontId="10" numFmtId="0" xfId="0" applyAlignment="1" applyBorder="1" applyFill="1" applyFont="1">
      <alignment horizontal="center" shrinkToFit="0" wrapText="0"/>
    </xf>
    <xf borderId="0" fillId="0" fontId="10" numFmtId="0" xfId="0" applyAlignment="1" applyFont="1">
      <alignment shrinkToFit="0" vertical="bottom" wrapText="0"/>
    </xf>
    <xf borderId="7" fillId="12" fontId="7" numFmtId="9" xfId="0" applyAlignment="1" applyBorder="1" applyFill="1" applyFont="1" applyNumberFormat="1">
      <alignment horizontal="center" readingOrder="0" shrinkToFit="0" vertical="bottom" wrapText="0"/>
    </xf>
    <xf borderId="10" fillId="0" fontId="18" numFmtId="0" xfId="0" applyAlignment="1" applyBorder="1" applyFont="1">
      <alignment horizontal="center" shrinkToFit="0" vertical="bottom" wrapText="0"/>
    </xf>
    <xf borderId="10" fillId="0" fontId="15" numFmtId="0" xfId="0" applyAlignment="1" applyBorder="1" applyFont="1">
      <alignment shrinkToFit="0" vertical="bottom" wrapText="0"/>
    </xf>
    <xf borderId="10" fillId="0" fontId="15" numFmtId="0" xfId="0" applyAlignment="1" applyBorder="1" applyFont="1">
      <alignment horizontal="center" shrinkToFit="0" vertical="bottom" wrapText="0"/>
    </xf>
    <xf borderId="29" fillId="2" fontId="15" numFmtId="3" xfId="0" applyAlignment="1" applyBorder="1" applyFill="1" applyFont="1" applyNumberFormat="1">
      <alignment horizontal="center" readingOrder="0" shrinkToFit="0" vertical="bottom" wrapText="0"/>
    </xf>
    <xf borderId="29" fillId="4" fontId="15" numFmtId="3" xfId="0" applyAlignment="1" applyBorder="1" applyFill="1" applyFont="1" applyNumberFormat="1">
      <alignment horizontal="center" readingOrder="0" shrinkToFit="0" vertical="bottom" wrapText="0"/>
    </xf>
    <xf borderId="29" fillId="3" fontId="15" numFmtId="3" xfId="0" applyAlignment="1" applyBorder="1" applyFill="1" applyFont="1" applyNumberFormat="1">
      <alignment horizontal="center" readingOrder="0" shrinkToFit="0" vertical="bottom" wrapText="0"/>
    </xf>
    <xf borderId="29" fillId="5" fontId="15" numFmtId="3" xfId="0" applyAlignment="1" applyBorder="1" applyFill="1" applyFont="1" applyNumberFormat="1">
      <alignment horizontal="center" readingOrder="0" shrinkToFit="0" vertical="bottom" wrapText="0"/>
    </xf>
    <xf borderId="29" fillId="7" fontId="15" numFmtId="3" xfId="0" applyAlignment="1" applyBorder="1" applyFill="1" applyFont="1" applyNumberFormat="1">
      <alignment horizontal="center" readingOrder="0" shrinkToFit="0" vertical="bottom" wrapText="0"/>
    </xf>
    <xf borderId="29" fillId="9" fontId="15" numFmtId="3" xfId="0" applyAlignment="1" applyBorder="1" applyFill="1" applyFont="1" applyNumberFormat="1">
      <alignment horizontal="center" readingOrder="0" shrinkToFit="0" vertical="bottom" wrapText="0"/>
    </xf>
    <xf borderId="10" fillId="0" fontId="18" numFmtId="3" xfId="0" applyAlignment="1" applyBorder="1" applyFont="1" applyNumberFormat="1">
      <alignment readingOrder="0" shrinkToFit="0" vertical="bottom" wrapText="0"/>
    </xf>
    <xf borderId="11" fillId="0" fontId="16" numFmtId="0" xfId="0" applyAlignment="1" applyBorder="1" applyFont="1">
      <alignment horizontal="center" readingOrder="0" shrinkToFit="0" vertical="bottom" wrapText="0"/>
    </xf>
    <xf borderId="10" fillId="0" fontId="16" numFmtId="0" xfId="0" applyAlignment="1" applyBorder="1" applyFont="1">
      <alignment horizontal="center" readingOrder="0" shrinkToFit="0" vertical="bottom" wrapText="0"/>
    </xf>
    <xf borderId="10" fillId="0" fontId="16" numFmtId="10" xfId="0" applyAlignment="1" applyBorder="1" applyFont="1" applyNumberFormat="1">
      <alignment horizontal="center" readingOrder="0" shrinkToFit="0" vertical="bottom" wrapText="0"/>
    </xf>
    <xf borderId="10" fillId="0" fontId="16" numFmtId="3" xfId="0" applyAlignment="1" applyBorder="1" applyFont="1" applyNumberFormat="1">
      <alignment horizontal="center" readingOrder="0" shrinkToFit="0" vertical="bottom" wrapText="0"/>
    </xf>
    <xf borderId="10" fillId="0" fontId="17" numFmtId="10" xfId="0" applyAlignment="1" applyBorder="1" applyFont="1" applyNumberFormat="1">
      <alignment horizontal="right" readingOrder="0" shrinkToFit="0" vertical="bottom" wrapText="0"/>
    </xf>
    <xf borderId="10" fillId="0" fontId="17" numFmtId="10" xfId="0" applyAlignment="1" applyBorder="1" applyFont="1" applyNumberFormat="1">
      <alignment horizontal="center" readingOrder="0" shrinkToFit="0" vertical="bottom" wrapText="0"/>
    </xf>
    <xf borderId="10" fillId="13" fontId="16" numFmtId="3" xfId="0" applyAlignment="1" applyBorder="1" applyFill="1" applyFont="1" applyNumberFormat="1">
      <alignment horizontal="center" readingOrder="0" shrinkToFit="0" vertical="bottom" wrapText="0"/>
    </xf>
    <xf borderId="10" fillId="13" fontId="15" numFmtId="10" xfId="0" applyAlignment="1" applyBorder="1" applyFill="1" applyFont="1" applyNumberFormat="1">
      <alignment horizontal="center" readingOrder="0" shrinkToFit="0" vertical="bottom" wrapText="0"/>
    </xf>
    <xf borderId="7" fillId="13" fontId="21" numFmtId="9" xfId="0" applyAlignment="1" applyBorder="1" applyFill="1" applyFont="1" applyNumberFormat="1">
      <alignment horizontal="center" readingOrder="0" shrinkToFit="0" vertical="bottom" wrapText="0"/>
    </xf>
    <xf borderId="11" fillId="13" fontId="16" numFmtId="0" xfId="0" applyAlignment="1" applyBorder="1" applyFill="1" applyFont="1">
      <alignment horizontal="center" readingOrder="0" shrinkToFit="0" vertical="bottom" wrapText="0"/>
    </xf>
    <xf borderId="7" fillId="0" fontId="16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horizontal="left" readingOrder="0" shrinkToFit="0" vertical="bottom" wrapText="0"/>
    </xf>
    <xf borderId="7" fillId="0" fontId="16" numFmtId="10" xfId="0" applyAlignment="1" applyBorder="1" applyFont="1" applyNumberFormat="1">
      <alignment horizontal="center" readingOrder="0" shrinkToFit="0" vertical="bottom" wrapText="0"/>
    </xf>
    <xf borderId="7" fillId="0" fontId="16" numFmtId="3" xfId="0" applyAlignment="1" applyBorder="1" applyFont="1" applyNumberFormat="1">
      <alignment horizontal="center" readingOrder="0" shrinkToFit="0" vertical="bottom" wrapText="0"/>
    </xf>
    <xf borderId="7" fillId="0" fontId="17" numFmtId="10" xfId="0" applyAlignment="1" applyBorder="1" applyFont="1" applyNumberFormat="1">
      <alignment horizontal="right" readingOrder="0" shrinkToFit="0" vertical="bottom" wrapText="0"/>
    </xf>
    <xf borderId="7" fillId="0" fontId="17" numFmtId="10" xfId="0" applyAlignment="1" applyBorder="1" applyFont="1" applyNumberFormat="1">
      <alignment horizontal="center" readingOrder="0" shrinkToFit="0" vertical="bottom" wrapText="0"/>
    </xf>
    <xf borderId="7" fillId="0" fontId="17" numFmtId="3" xfId="0" applyAlignment="1" applyBorder="1" applyFont="1" applyNumberFormat="1">
      <alignment horizontal="center" readingOrder="0" shrinkToFit="0" vertical="bottom" wrapText="0"/>
    </xf>
    <xf borderId="7" fillId="14" fontId="17" numFmtId="3" xfId="0" applyAlignment="1" applyBorder="1" applyFill="1" applyFont="1" applyNumberFormat="1">
      <alignment horizontal="center" readingOrder="0" shrinkToFit="0" vertical="bottom" wrapText="0"/>
    </xf>
    <xf borderId="7" fillId="14" fontId="17" numFmtId="10" xfId="0" applyAlignment="1" applyBorder="1" applyFill="1" applyFont="1" applyNumberFormat="1">
      <alignment horizontal="center" readingOrder="0" shrinkToFit="0" vertical="bottom" wrapText="0"/>
    </xf>
    <xf borderId="10" fillId="14" fontId="15" numFmtId="10" xfId="0" applyAlignment="1" applyBorder="1" applyFill="1" applyFont="1" applyNumberFormat="1">
      <alignment horizontal="center" readingOrder="0" shrinkToFit="0" vertical="bottom" wrapText="0"/>
    </xf>
    <xf borderId="7" fillId="14" fontId="21" numFmtId="9" xfId="0" applyAlignment="1" applyBorder="1" applyFill="1" applyFont="1" applyNumberFormat="1">
      <alignment horizontal="center" readingOrder="0" shrinkToFit="0" vertical="bottom" wrapText="0"/>
    </xf>
    <xf borderId="7" fillId="14" fontId="17" numFmtId="0" xfId="0" applyAlignment="1" applyBorder="1" applyFill="1" applyFont="1">
      <alignment horizontal="center" readingOrder="0" shrinkToFit="0" wrapText="0"/>
    </xf>
    <xf borderId="0" fillId="15" fontId="17" numFmtId="0" xfId="0" applyAlignment="1" applyFill="1" applyFont="1">
      <alignment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5" numFmtId="10" xfId="0" applyAlignment="1" applyFont="1" applyNumberFormat="1">
      <alignment horizontal="center" shrinkToFit="0" vertical="bottom" wrapText="0"/>
    </xf>
    <xf borderId="0" fillId="0" fontId="15" numFmtId="0" xfId="0" applyAlignment="1" applyFont="1">
      <alignment horizontal="center" shrinkToFit="0" wrapText="0"/>
    </xf>
    <xf borderId="7" fillId="2" fontId="17" numFmtId="3" xfId="0" applyAlignment="1" applyBorder="1" applyFill="1" applyFont="1" applyNumberFormat="1">
      <alignment horizontal="center" readingOrder="0" shrinkToFit="0" vertical="bottom" wrapText="0"/>
    </xf>
    <xf borderId="7" fillId="2" fontId="17" numFmtId="10" xfId="0" applyAlignment="1" applyBorder="1" applyFill="1" applyFont="1" applyNumberFormat="1">
      <alignment horizontal="center" readingOrder="0" shrinkToFit="0" vertical="bottom" wrapText="0"/>
    </xf>
    <xf borderId="7" fillId="4" fontId="17" numFmtId="10" xfId="0" applyAlignment="1" applyBorder="1" applyFill="1" applyFont="1" applyNumberFormat="1">
      <alignment horizontal="center" readingOrder="0" shrinkToFit="0" vertical="bottom" wrapText="0"/>
    </xf>
    <xf borderId="7" fillId="3" fontId="17" numFmtId="10" xfId="0" applyAlignment="1" applyBorder="1" applyFill="1" applyFont="1" applyNumberFormat="1">
      <alignment horizontal="center" readingOrder="0" shrinkToFit="0" vertical="bottom" wrapText="0"/>
    </xf>
    <xf borderId="7" fillId="5" fontId="17" numFmtId="10" xfId="0" applyAlignment="1" applyBorder="1" applyFill="1" applyFont="1" applyNumberFormat="1">
      <alignment horizontal="center" readingOrder="0" shrinkToFit="0" vertical="bottom" wrapText="0"/>
    </xf>
    <xf borderId="7" fillId="11" fontId="17" numFmtId="10" xfId="0" applyAlignment="1" applyBorder="1" applyFill="1" applyFont="1" applyNumberFormat="1">
      <alignment horizontal="center" readingOrder="0" shrinkToFit="0" vertical="bottom" wrapText="0"/>
    </xf>
    <xf borderId="7" fillId="9" fontId="17" numFmtId="10" xfId="0" applyAlignment="1" applyBorder="1" applyFill="1" applyFont="1" applyNumberFormat="1">
      <alignment horizontal="center" readingOrder="0" shrinkToFit="0" vertical="bottom" wrapText="0"/>
    </xf>
    <xf borderId="7" fillId="2" fontId="17" numFmtId="0" xfId="0" applyAlignment="1" applyBorder="1" applyFill="1" applyFont="1">
      <alignment horizontal="center" readingOrder="0" shrinkToFit="0" wrapText="0"/>
    </xf>
    <xf borderId="0" fillId="0" fontId="17" numFmtId="0" xfId="0" applyAlignment="1" applyFont="1">
      <alignment shrinkToFit="0" vertical="bottom" wrapText="0"/>
    </xf>
    <xf borderId="0" fillId="0" fontId="12" numFmtId="3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>
        <color rgb="FF000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75"/>
    <col customWidth="1" min="2" max="2" width="13.63"/>
    <col customWidth="1" min="3" max="3" width="11.38"/>
    <col customWidth="1" min="4" max="4" width="10.0"/>
    <col customWidth="1" min="5" max="5" width="9.0"/>
    <col customWidth="1" hidden="1" min="6" max="6" width="8.25"/>
    <col customWidth="1" hidden="1" min="7" max="7" width="8.88"/>
    <col customWidth="1" hidden="1" min="8" max="8" width="9.75"/>
    <col customWidth="1" hidden="1" min="9" max="9" width="8.5"/>
    <col customWidth="1" hidden="1" min="10" max="10" width="8.88"/>
    <col customWidth="1" hidden="1" min="11" max="11" width="9.63"/>
    <col customWidth="1" hidden="1" min="12" max="12" width="9.0"/>
    <col customWidth="1" hidden="1" min="13" max="13" width="8.88"/>
    <col customWidth="1" hidden="1" min="14" max="14" width="10.25"/>
    <col customWidth="1" min="15" max="15" width="9.13"/>
    <col customWidth="1" min="16" max="18" width="8.5"/>
    <col customWidth="1" min="19" max="19" width="8.88"/>
    <col customWidth="1" min="20" max="20" width="10.38"/>
    <col customWidth="1" min="21" max="21" width="9.13"/>
    <col customWidth="1" min="22" max="22" width="8.88"/>
    <col customWidth="1" min="23" max="23" width="10.25"/>
    <col customWidth="1" min="24" max="24" width="8.38"/>
    <col customWidth="1" min="25" max="25" width="8.88"/>
    <col customWidth="1" min="26" max="26" width="10.25"/>
    <col customWidth="1" min="27" max="27" width="7.88"/>
    <col customWidth="1" min="28" max="29" width="8.88"/>
    <col customWidth="1" min="30" max="30" width="7.63"/>
    <col customWidth="1" min="31" max="31" width="6.5"/>
    <col customWidth="1" min="32" max="32" width="6.75"/>
    <col customWidth="1" min="33" max="33" width="7.63"/>
    <col customWidth="1" min="34" max="34" width="6.5"/>
    <col customWidth="1" min="35" max="35" width="7.5"/>
    <col customWidth="1" min="36" max="46" width="6.75"/>
  </cols>
  <sheetData>
    <row r="1"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5.25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  <c r="G3" s="11" t="s">
        <v>5</v>
      </c>
      <c r="H3" s="9" t="s">
        <v>7</v>
      </c>
      <c r="I3" s="10" t="s">
        <v>8</v>
      </c>
      <c r="J3" s="11" t="s">
        <v>5</v>
      </c>
      <c r="K3" s="9" t="s">
        <v>9</v>
      </c>
      <c r="L3" s="12" t="s">
        <v>10</v>
      </c>
      <c r="M3" s="11" t="s">
        <v>5</v>
      </c>
      <c r="N3" s="13" t="s">
        <v>11</v>
      </c>
      <c r="O3" s="14" t="s">
        <v>12</v>
      </c>
      <c r="P3" s="14" t="s">
        <v>13</v>
      </c>
      <c r="Q3" s="15" t="s">
        <v>5</v>
      </c>
      <c r="R3" s="15" t="s">
        <v>14</v>
      </c>
      <c r="S3" s="11" t="s">
        <v>5</v>
      </c>
      <c r="T3" s="9" t="s">
        <v>15</v>
      </c>
      <c r="U3" s="12" t="s">
        <v>16</v>
      </c>
      <c r="V3" s="11" t="s">
        <v>5</v>
      </c>
      <c r="W3" s="13" t="s">
        <v>17</v>
      </c>
      <c r="X3" s="13" t="s">
        <v>18</v>
      </c>
      <c r="Y3" s="13" t="s">
        <v>5</v>
      </c>
      <c r="Z3" s="13" t="s">
        <v>19</v>
      </c>
      <c r="AA3" s="13" t="s">
        <v>20</v>
      </c>
      <c r="AB3" s="13" t="s">
        <v>5</v>
      </c>
      <c r="AC3" s="13" t="s">
        <v>21</v>
      </c>
      <c r="AD3" s="13" t="s">
        <v>22</v>
      </c>
      <c r="AE3" s="13" t="s">
        <v>5</v>
      </c>
      <c r="AF3" s="13" t="s">
        <v>23</v>
      </c>
      <c r="AG3" s="13" t="s">
        <v>24</v>
      </c>
      <c r="AH3" s="13" t="s">
        <v>5</v>
      </c>
      <c r="AI3" s="13" t="s">
        <v>25</v>
      </c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>
      <c r="A4" s="17">
        <v>1.0</v>
      </c>
      <c r="B4" s="18" t="s">
        <v>26</v>
      </c>
      <c r="C4" s="19">
        <v>905369.0</v>
      </c>
      <c r="D4" s="20">
        <v>75447.0</v>
      </c>
      <c r="E4" s="21">
        <v>0.1244</v>
      </c>
      <c r="F4" s="19">
        <v>70000.0</v>
      </c>
      <c r="G4" s="22">
        <v>0.117</v>
      </c>
      <c r="H4" s="23">
        <v>-0.0278</v>
      </c>
      <c r="I4" s="19">
        <v>80200.0</v>
      </c>
      <c r="J4" s="22">
        <v>0.1339</v>
      </c>
      <c r="K4" s="24">
        <v>0.1457</v>
      </c>
      <c r="L4" s="25">
        <v>86922.0</v>
      </c>
      <c r="M4" s="22">
        <v>0.1451</v>
      </c>
      <c r="N4" s="26">
        <v>0.0838</v>
      </c>
      <c r="O4" s="27">
        <f t="shared" ref="O4:O26" si="1">F4+I4+L4</f>
        <v>237122</v>
      </c>
      <c r="P4" s="27">
        <f t="shared" ref="P4:P26" si="2">O4/3</f>
        <v>79040.66667</v>
      </c>
      <c r="Q4" s="28">
        <f t="shared" ref="Q4:Q26" si="3">O4/$O$27</f>
        <v>0.1274330139</v>
      </c>
      <c r="R4" s="27">
        <v>91000.0</v>
      </c>
      <c r="S4" s="29">
        <v>0.1444</v>
      </c>
      <c r="T4" s="30">
        <v>0.0469</v>
      </c>
      <c r="U4" s="25">
        <v>81666.0</v>
      </c>
      <c r="V4" s="29">
        <f t="shared" ref="V4:V26" si="4">U4/$U$27</f>
        <v>0.1300057946</v>
      </c>
      <c r="W4" s="31">
        <f t="shared" ref="W4:W26" si="5">U4/R4-1</f>
        <v>-0.1025714286</v>
      </c>
      <c r="X4" s="27">
        <v>72500.0</v>
      </c>
      <c r="Y4" s="28">
        <f t="shared" ref="Y4:Y26" si="6">X4/$X$27</f>
        <v>0.1117483766</v>
      </c>
      <c r="Z4" s="32">
        <f t="shared" ref="Z4:Z26" si="7">X4/U4-1</f>
        <v>-0.1122376509</v>
      </c>
      <c r="AA4" s="27">
        <v>71550.0</v>
      </c>
      <c r="AB4" s="28">
        <f t="shared" ref="AB4:AB26" si="8">AA4/$AA$27</f>
        <v>0.1099253951</v>
      </c>
      <c r="AC4" s="32">
        <f t="shared" ref="AC4:AC26" si="9">AA4/X4-1</f>
        <v>-0.01310344828</v>
      </c>
      <c r="AD4" s="27">
        <v>75300.0</v>
      </c>
      <c r="AE4" s="28">
        <f t="shared" ref="AE4:AE26" si="10">AD4/$AA$27</f>
        <v>0.1156866842</v>
      </c>
      <c r="AF4" s="33">
        <f t="shared" ref="AF4:AF26" si="11">AD4/AA4-1</f>
        <v>0.05241090147</v>
      </c>
      <c r="AG4" s="27">
        <v>76583.0</v>
      </c>
      <c r="AH4" s="28">
        <f t="shared" ref="AH4:AH26" si="12">AG4/$AA$27</f>
        <v>0.1176578132</v>
      </c>
      <c r="AI4" s="33">
        <f t="shared" ref="AI4:AI26" si="13">AG4/AD4-1</f>
        <v>0.01703851262</v>
      </c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</row>
    <row r="5">
      <c r="A5" s="35">
        <f t="shared" ref="A5:A26" si="14">A4+1</f>
        <v>2</v>
      </c>
      <c r="B5" s="36" t="s">
        <v>27</v>
      </c>
      <c r="C5" s="37">
        <v>540000.0</v>
      </c>
      <c r="D5" s="38">
        <v>45000.0</v>
      </c>
      <c r="E5" s="39">
        <v>0.0742</v>
      </c>
      <c r="F5" s="37">
        <v>46706.0</v>
      </c>
      <c r="G5" s="40">
        <v>0.078</v>
      </c>
      <c r="H5" s="41">
        <v>-0.0297</v>
      </c>
      <c r="I5" s="37">
        <v>43222.0</v>
      </c>
      <c r="J5" s="40">
        <v>0.0722</v>
      </c>
      <c r="K5" s="41">
        <v>-0.0746</v>
      </c>
      <c r="L5" s="42">
        <v>48309.0</v>
      </c>
      <c r="M5" s="40">
        <v>0.0806</v>
      </c>
      <c r="N5" s="43">
        <v>0.1177</v>
      </c>
      <c r="O5" s="44">
        <f t="shared" si="1"/>
        <v>138237</v>
      </c>
      <c r="P5" s="44">
        <f t="shared" si="2"/>
        <v>46079</v>
      </c>
      <c r="Q5" s="45">
        <f t="shared" si="3"/>
        <v>0.07429069229</v>
      </c>
      <c r="R5" s="44">
        <v>46000.0</v>
      </c>
      <c r="S5" s="40">
        <v>0.073</v>
      </c>
      <c r="T5" s="41">
        <v>-0.0478</v>
      </c>
      <c r="U5" s="42">
        <v>40000.0</v>
      </c>
      <c r="V5" s="40">
        <f t="shared" si="4"/>
        <v>0.06367682737</v>
      </c>
      <c r="W5" s="46">
        <f t="shared" si="5"/>
        <v>-0.1304347826</v>
      </c>
      <c r="X5" s="44">
        <v>45415.0</v>
      </c>
      <c r="Y5" s="45">
        <f t="shared" si="6"/>
        <v>0.07000072444</v>
      </c>
      <c r="Z5" s="47">
        <f t="shared" si="7"/>
        <v>0.135375</v>
      </c>
      <c r="AA5" s="44">
        <v>44766.0</v>
      </c>
      <c r="AB5" s="45">
        <f t="shared" si="8"/>
        <v>0.06877596421</v>
      </c>
      <c r="AC5" s="48">
        <f t="shared" si="9"/>
        <v>-0.01429043268</v>
      </c>
      <c r="AD5" s="44">
        <v>47459.0</v>
      </c>
      <c r="AE5" s="45">
        <f t="shared" si="10"/>
        <v>0.07291333792</v>
      </c>
      <c r="AF5" s="47">
        <f t="shared" si="11"/>
        <v>0.06015726221</v>
      </c>
      <c r="AG5" s="44">
        <v>46520.0</v>
      </c>
      <c r="AH5" s="45">
        <f t="shared" si="12"/>
        <v>0.07147071114</v>
      </c>
      <c r="AI5" s="47">
        <f t="shared" si="13"/>
        <v>-0.01978549906</v>
      </c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</row>
    <row r="6">
      <c r="A6" s="35">
        <f t="shared" si="14"/>
        <v>3</v>
      </c>
      <c r="B6" s="36" t="s">
        <v>28</v>
      </c>
      <c r="C6" s="37">
        <v>381882.0</v>
      </c>
      <c r="D6" s="38">
        <v>31824.0</v>
      </c>
      <c r="E6" s="49">
        <v>0.0525</v>
      </c>
      <c r="F6" s="37">
        <v>31000.0</v>
      </c>
      <c r="G6" s="40">
        <v>0.0518</v>
      </c>
      <c r="H6" s="41">
        <v>0.0032</v>
      </c>
      <c r="I6" s="37">
        <v>31550.0</v>
      </c>
      <c r="J6" s="40">
        <v>0.0527</v>
      </c>
      <c r="K6" s="41">
        <v>0.0177</v>
      </c>
      <c r="L6" s="42">
        <v>37965.0</v>
      </c>
      <c r="M6" s="40">
        <v>0.0634</v>
      </c>
      <c r="N6" s="43">
        <v>0.2033</v>
      </c>
      <c r="O6" s="44">
        <f t="shared" si="1"/>
        <v>100515</v>
      </c>
      <c r="P6" s="44">
        <f t="shared" si="2"/>
        <v>33505</v>
      </c>
      <c r="Q6" s="45">
        <f t="shared" si="3"/>
        <v>0.05401830867</v>
      </c>
      <c r="R6" s="44">
        <v>44012.0</v>
      </c>
      <c r="S6" s="40">
        <v>0.0698</v>
      </c>
      <c r="T6" s="41">
        <v>0.1593</v>
      </c>
      <c r="U6" s="42">
        <v>42850.0</v>
      </c>
      <c r="V6" s="40">
        <f t="shared" si="4"/>
        <v>0.06821380132</v>
      </c>
      <c r="W6" s="46">
        <f t="shared" si="5"/>
        <v>-0.02640189039</v>
      </c>
      <c r="X6" s="44">
        <v>41000.0</v>
      </c>
      <c r="Y6" s="45">
        <f t="shared" si="6"/>
        <v>0.06319563364</v>
      </c>
      <c r="Z6" s="48">
        <f t="shared" si="7"/>
        <v>-0.04317386231</v>
      </c>
      <c r="AA6" s="44">
        <v>42226.0</v>
      </c>
      <c r="AB6" s="45">
        <f t="shared" si="8"/>
        <v>0.06487365109</v>
      </c>
      <c r="AC6" s="47">
        <f t="shared" si="9"/>
        <v>0.02990243902</v>
      </c>
      <c r="AD6" s="44">
        <v>44362.0</v>
      </c>
      <c r="AE6" s="45">
        <f t="shared" si="10"/>
        <v>0.06815528134</v>
      </c>
      <c r="AF6" s="47">
        <f t="shared" si="11"/>
        <v>0.05058494766</v>
      </c>
      <c r="AG6" s="44">
        <v>43846.0</v>
      </c>
      <c r="AH6" s="45">
        <f t="shared" si="12"/>
        <v>0.06736252796</v>
      </c>
      <c r="AI6" s="47">
        <f t="shared" si="13"/>
        <v>-0.01163157657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</row>
    <row r="7">
      <c r="A7" s="35">
        <f t="shared" si="14"/>
        <v>4</v>
      </c>
      <c r="B7" s="36" t="s">
        <v>29</v>
      </c>
      <c r="C7" s="37">
        <v>456434.0</v>
      </c>
      <c r="D7" s="38">
        <v>38036.0</v>
      </c>
      <c r="E7" s="49">
        <v>0.0627</v>
      </c>
      <c r="F7" s="37">
        <v>35400.0</v>
      </c>
      <c r="G7" s="40">
        <v>0.0592</v>
      </c>
      <c r="H7" s="41">
        <v>-0.0684</v>
      </c>
      <c r="I7" s="37">
        <v>33450.0</v>
      </c>
      <c r="J7" s="40">
        <v>0.0558</v>
      </c>
      <c r="K7" s="41">
        <v>-0.0551</v>
      </c>
      <c r="L7" s="42">
        <v>43874.0</v>
      </c>
      <c r="M7" s="40">
        <v>0.0732</v>
      </c>
      <c r="N7" s="43">
        <v>0.3116</v>
      </c>
      <c r="O7" s="44">
        <f t="shared" si="1"/>
        <v>112724</v>
      </c>
      <c r="P7" s="44">
        <f t="shared" si="2"/>
        <v>37574.66667</v>
      </c>
      <c r="Q7" s="45">
        <f t="shared" si="3"/>
        <v>0.06057961325</v>
      </c>
      <c r="R7" s="44">
        <v>35706.0</v>
      </c>
      <c r="S7" s="40">
        <v>0.0566</v>
      </c>
      <c r="T7" s="41">
        <v>-0.1862</v>
      </c>
      <c r="U7" s="42">
        <v>35423.0</v>
      </c>
      <c r="V7" s="40">
        <f t="shared" si="4"/>
        <v>0.05639060639</v>
      </c>
      <c r="W7" s="46">
        <f t="shared" si="5"/>
        <v>-0.007925838795</v>
      </c>
      <c r="X7" s="44">
        <v>43500.0</v>
      </c>
      <c r="Y7" s="45">
        <f t="shared" si="6"/>
        <v>0.06704902594</v>
      </c>
      <c r="Z7" s="48">
        <f t="shared" si="7"/>
        <v>0.228015696</v>
      </c>
      <c r="AA7" s="44">
        <v>42210.0</v>
      </c>
      <c r="AB7" s="45">
        <f t="shared" si="8"/>
        <v>0.06484906959</v>
      </c>
      <c r="AC7" s="48">
        <f t="shared" si="9"/>
        <v>-0.02965517241</v>
      </c>
      <c r="AD7" s="44">
        <v>43278.0</v>
      </c>
      <c r="AE7" s="45">
        <f t="shared" si="10"/>
        <v>0.06648988471</v>
      </c>
      <c r="AF7" s="47">
        <f t="shared" si="11"/>
        <v>0.02530206112</v>
      </c>
      <c r="AG7" s="44">
        <v>44521.0</v>
      </c>
      <c r="AH7" s="45">
        <f t="shared" si="12"/>
        <v>0.06839955999</v>
      </c>
      <c r="AI7" s="47">
        <f t="shared" si="13"/>
        <v>0.02872129026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</row>
    <row r="8">
      <c r="A8" s="50">
        <f t="shared" si="14"/>
        <v>5</v>
      </c>
      <c r="B8" s="51" t="s">
        <v>30</v>
      </c>
      <c r="C8" s="52">
        <v>381421.0</v>
      </c>
      <c r="D8" s="53">
        <v>31785.0</v>
      </c>
      <c r="E8" s="54">
        <v>0.0524</v>
      </c>
      <c r="F8" s="52">
        <v>26000.0</v>
      </c>
      <c r="G8" s="55">
        <v>0.0434</v>
      </c>
      <c r="H8" s="56">
        <v>-0.037</v>
      </c>
      <c r="I8" s="52">
        <v>27500.0</v>
      </c>
      <c r="J8" s="55">
        <v>0.0459</v>
      </c>
      <c r="K8" s="57">
        <v>0.0577</v>
      </c>
      <c r="L8" s="58">
        <v>34031.0</v>
      </c>
      <c r="M8" s="55">
        <v>0.0568</v>
      </c>
      <c r="N8" s="59">
        <v>0.2375</v>
      </c>
      <c r="O8" s="60">
        <f t="shared" si="1"/>
        <v>87531</v>
      </c>
      <c r="P8" s="60">
        <f t="shared" si="2"/>
        <v>29177</v>
      </c>
      <c r="Q8" s="61">
        <f t="shared" si="3"/>
        <v>0.04704050715</v>
      </c>
      <c r="R8" s="60">
        <v>36250.0</v>
      </c>
      <c r="S8" s="55">
        <v>0.0575</v>
      </c>
      <c r="T8" s="57">
        <v>0.0652</v>
      </c>
      <c r="U8" s="58">
        <v>30000.0</v>
      </c>
      <c r="V8" s="55">
        <f t="shared" si="4"/>
        <v>0.04775762052</v>
      </c>
      <c r="W8" s="62">
        <f t="shared" si="5"/>
        <v>-0.1724137931</v>
      </c>
      <c r="X8" s="60">
        <v>37150.0</v>
      </c>
      <c r="Y8" s="61">
        <f t="shared" si="6"/>
        <v>0.05726140951</v>
      </c>
      <c r="Z8" s="63">
        <f t="shared" si="7"/>
        <v>0.2383333333</v>
      </c>
      <c r="AA8" s="60">
        <v>37530.0</v>
      </c>
      <c r="AB8" s="61">
        <f t="shared" si="8"/>
        <v>0.05765898085</v>
      </c>
      <c r="AC8" s="63">
        <f t="shared" si="9"/>
        <v>0.01022880215</v>
      </c>
      <c r="AD8" s="60">
        <v>36520.0</v>
      </c>
      <c r="AE8" s="61">
        <f t="shared" si="10"/>
        <v>0.05610727367</v>
      </c>
      <c r="AF8" s="64">
        <f t="shared" si="11"/>
        <v>-0.02691180389</v>
      </c>
      <c r="AG8" s="60">
        <v>36980.0</v>
      </c>
      <c r="AH8" s="61">
        <f t="shared" si="12"/>
        <v>0.05681399179</v>
      </c>
      <c r="AI8" s="64">
        <f t="shared" si="13"/>
        <v>0.0125958379</v>
      </c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</row>
    <row r="9">
      <c r="A9" s="50">
        <f t="shared" si="14"/>
        <v>6</v>
      </c>
      <c r="B9" s="51" t="s">
        <v>31</v>
      </c>
      <c r="C9" s="52">
        <v>458029.0</v>
      </c>
      <c r="D9" s="53">
        <v>38169.0</v>
      </c>
      <c r="E9" s="54">
        <v>0.0629</v>
      </c>
      <c r="F9" s="52">
        <v>37000.0</v>
      </c>
      <c r="G9" s="55">
        <v>0.0618</v>
      </c>
      <c r="H9" s="56">
        <v>-0.0513</v>
      </c>
      <c r="I9" s="52">
        <v>36500.0</v>
      </c>
      <c r="J9" s="55">
        <v>0.0609</v>
      </c>
      <c r="K9" s="57">
        <v>-0.0135</v>
      </c>
      <c r="L9" s="58">
        <v>40414.0</v>
      </c>
      <c r="M9" s="55">
        <v>0.0675</v>
      </c>
      <c r="N9" s="59">
        <v>0.1072</v>
      </c>
      <c r="O9" s="60">
        <f t="shared" si="1"/>
        <v>113914</v>
      </c>
      <c r="P9" s="60">
        <f t="shared" si="2"/>
        <v>37971.33333</v>
      </c>
      <c r="Q9" s="61">
        <f t="shared" si="3"/>
        <v>0.06121913758</v>
      </c>
      <c r="R9" s="60">
        <v>42350.0</v>
      </c>
      <c r="S9" s="55">
        <v>0.0672</v>
      </c>
      <c r="T9" s="57">
        <v>0.0479</v>
      </c>
      <c r="U9" s="58">
        <v>39750.0</v>
      </c>
      <c r="V9" s="55">
        <f t="shared" si="4"/>
        <v>0.06327884719</v>
      </c>
      <c r="W9" s="62">
        <f t="shared" si="5"/>
        <v>-0.0613931523</v>
      </c>
      <c r="X9" s="60">
        <v>38194.0</v>
      </c>
      <c r="Y9" s="61">
        <f t="shared" si="6"/>
        <v>0.05887058613</v>
      </c>
      <c r="Z9" s="63">
        <f t="shared" si="7"/>
        <v>-0.03914465409</v>
      </c>
      <c r="AA9" s="60">
        <v>35065.0</v>
      </c>
      <c r="AB9" s="61">
        <f t="shared" si="8"/>
        <v>0.05387189351</v>
      </c>
      <c r="AC9" s="64">
        <f t="shared" si="9"/>
        <v>-0.08192386239</v>
      </c>
      <c r="AD9" s="60">
        <v>36001.0</v>
      </c>
      <c r="AE9" s="61">
        <f t="shared" si="10"/>
        <v>0.05530991126</v>
      </c>
      <c r="AF9" s="63">
        <f t="shared" si="11"/>
        <v>0.0266932839</v>
      </c>
      <c r="AG9" s="60">
        <v>37745.0</v>
      </c>
      <c r="AH9" s="61">
        <f t="shared" si="12"/>
        <v>0.05798929476</v>
      </c>
      <c r="AI9" s="63">
        <f t="shared" si="13"/>
        <v>0.0484430988</v>
      </c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</row>
    <row r="10">
      <c r="A10" s="50">
        <f t="shared" si="14"/>
        <v>7</v>
      </c>
      <c r="B10" s="51" t="s">
        <v>32</v>
      </c>
      <c r="C10" s="52">
        <v>359880.0</v>
      </c>
      <c r="D10" s="53">
        <v>29990.0</v>
      </c>
      <c r="E10" s="54">
        <v>0.0495</v>
      </c>
      <c r="F10" s="52">
        <v>35600.0</v>
      </c>
      <c r="G10" s="55">
        <v>0.0595</v>
      </c>
      <c r="H10" s="66">
        <v>0.1788</v>
      </c>
      <c r="I10" s="52">
        <v>36000.0</v>
      </c>
      <c r="J10" s="55">
        <v>0.0601</v>
      </c>
      <c r="K10" s="56">
        <v>0.0112</v>
      </c>
      <c r="L10" s="58">
        <v>37200.0</v>
      </c>
      <c r="M10" s="55">
        <v>0.0621</v>
      </c>
      <c r="N10" s="59">
        <v>0.0333</v>
      </c>
      <c r="O10" s="60">
        <f t="shared" si="1"/>
        <v>108800</v>
      </c>
      <c r="P10" s="60">
        <f t="shared" si="2"/>
        <v>36266.66667</v>
      </c>
      <c r="Q10" s="61">
        <f t="shared" si="3"/>
        <v>0.05847079524</v>
      </c>
      <c r="R10" s="60">
        <v>36888.0</v>
      </c>
      <c r="S10" s="55">
        <v>0.0585</v>
      </c>
      <c r="T10" s="56">
        <v>-0.0084</v>
      </c>
      <c r="U10" s="58">
        <v>35750.0</v>
      </c>
      <c r="V10" s="55">
        <f t="shared" si="4"/>
        <v>0.05691116446</v>
      </c>
      <c r="W10" s="62">
        <f t="shared" si="5"/>
        <v>-0.03085014097</v>
      </c>
      <c r="X10" s="60">
        <v>32900.0</v>
      </c>
      <c r="Y10" s="61">
        <f t="shared" si="6"/>
        <v>0.05071064261</v>
      </c>
      <c r="Z10" s="64">
        <f t="shared" si="7"/>
        <v>-0.07972027972</v>
      </c>
      <c r="AA10" s="60">
        <v>33010.0</v>
      </c>
      <c r="AB10" s="61">
        <f t="shared" si="8"/>
        <v>0.05071470711</v>
      </c>
      <c r="AC10" s="63">
        <f t="shared" si="9"/>
        <v>0.003343465046</v>
      </c>
      <c r="AD10" s="60">
        <v>33512.0</v>
      </c>
      <c r="AE10" s="61">
        <f t="shared" si="10"/>
        <v>0.05148595167</v>
      </c>
      <c r="AF10" s="63">
        <f t="shared" si="11"/>
        <v>0.01520751287</v>
      </c>
      <c r="AG10" s="60">
        <v>33842.0</v>
      </c>
      <c r="AH10" s="61">
        <f t="shared" si="12"/>
        <v>0.05199294511</v>
      </c>
      <c r="AI10" s="63">
        <f t="shared" si="13"/>
        <v>0.009847218907</v>
      </c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</row>
    <row r="11">
      <c r="A11" s="50">
        <f t="shared" si="14"/>
        <v>8</v>
      </c>
      <c r="B11" s="51" t="s">
        <v>33</v>
      </c>
      <c r="C11" s="52">
        <v>374281.0</v>
      </c>
      <c r="D11" s="53">
        <v>31190.0</v>
      </c>
      <c r="E11" s="54">
        <v>0.0514</v>
      </c>
      <c r="F11" s="52">
        <v>35000.0</v>
      </c>
      <c r="G11" s="55">
        <v>0.0585</v>
      </c>
      <c r="H11" s="66">
        <v>0.0294</v>
      </c>
      <c r="I11" s="52">
        <v>33100.0</v>
      </c>
      <c r="J11" s="55">
        <v>0.0553</v>
      </c>
      <c r="K11" s="56">
        <v>-0.0543</v>
      </c>
      <c r="L11" s="58">
        <v>37868.0</v>
      </c>
      <c r="M11" s="55">
        <v>0.0632</v>
      </c>
      <c r="N11" s="59">
        <v>0.144</v>
      </c>
      <c r="O11" s="60">
        <f t="shared" si="1"/>
        <v>105968</v>
      </c>
      <c r="P11" s="60">
        <f t="shared" si="2"/>
        <v>35322.66667</v>
      </c>
      <c r="Q11" s="61">
        <f t="shared" si="3"/>
        <v>0.05694883483</v>
      </c>
      <c r="R11" s="60">
        <v>35400.0</v>
      </c>
      <c r="S11" s="55">
        <v>0.0562</v>
      </c>
      <c r="T11" s="56">
        <v>-0.0652</v>
      </c>
      <c r="U11" s="58">
        <v>33080.0</v>
      </c>
      <c r="V11" s="55">
        <f t="shared" si="4"/>
        <v>0.05266073623</v>
      </c>
      <c r="W11" s="62">
        <f t="shared" si="5"/>
        <v>-0.06553672316</v>
      </c>
      <c r="X11" s="60">
        <v>28624.0</v>
      </c>
      <c r="Y11" s="61">
        <f t="shared" si="6"/>
        <v>0.04411980043</v>
      </c>
      <c r="Z11" s="64">
        <f t="shared" si="7"/>
        <v>-0.1347037485</v>
      </c>
      <c r="AA11" s="60">
        <v>28503.0</v>
      </c>
      <c r="AB11" s="61">
        <f t="shared" si="8"/>
        <v>0.04379040584</v>
      </c>
      <c r="AC11" s="64">
        <f t="shared" si="9"/>
        <v>-0.004227221912</v>
      </c>
      <c r="AD11" s="60">
        <v>28993.0</v>
      </c>
      <c r="AE11" s="61">
        <f t="shared" si="10"/>
        <v>0.04454321428</v>
      </c>
      <c r="AF11" s="63">
        <f t="shared" si="11"/>
        <v>0.01719117286</v>
      </c>
      <c r="AG11" s="60">
        <v>29860.0</v>
      </c>
      <c r="AH11" s="61">
        <f t="shared" si="12"/>
        <v>0.04587522431</v>
      </c>
      <c r="AI11" s="63">
        <f t="shared" si="13"/>
        <v>0.02990376988</v>
      </c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</row>
    <row r="12">
      <c r="A12" s="50">
        <f t="shared" si="14"/>
        <v>9</v>
      </c>
      <c r="B12" s="51" t="s">
        <v>34</v>
      </c>
      <c r="C12" s="52">
        <v>410884.0</v>
      </c>
      <c r="D12" s="53">
        <v>34240.0</v>
      </c>
      <c r="E12" s="54">
        <v>0.0565</v>
      </c>
      <c r="F12" s="52">
        <v>32000.0</v>
      </c>
      <c r="G12" s="55">
        <v>0.0535</v>
      </c>
      <c r="H12" s="56">
        <v>-0.0303</v>
      </c>
      <c r="I12" s="52">
        <v>31807.0</v>
      </c>
      <c r="J12" s="55">
        <v>0.0531</v>
      </c>
      <c r="K12" s="56">
        <v>-0.006</v>
      </c>
      <c r="L12" s="58">
        <v>32925.0</v>
      </c>
      <c r="M12" s="55">
        <v>0.055</v>
      </c>
      <c r="N12" s="59">
        <v>0.0351</v>
      </c>
      <c r="O12" s="60">
        <f t="shared" si="1"/>
        <v>96732</v>
      </c>
      <c r="P12" s="60">
        <f t="shared" si="2"/>
        <v>32244</v>
      </c>
      <c r="Q12" s="61">
        <f t="shared" si="3"/>
        <v>0.05198526622</v>
      </c>
      <c r="R12" s="60">
        <v>33300.0</v>
      </c>
      <c r="S12" s="55">
        <v>0.0528</v>
      </c>
      <c r="T12" s="57">
        <v>0.0114</v>
      </c>
      <c r="U12" s="58">
        <v>36000.0</v>
      </c>
      <c r="V12" s="55">
        <f t="shared" si="4"/>
        <v>0.05730914463</v>
      </c>
      <c r="W12" s="62">
        <f t="shared" si="5"/>
        <v>0.08108108108</v>
      </c>
      <c r="X12" s="60">
        <v>28305.0</v>
      </c>
      <c r="Y12" s="61">
        <f t="shared" si="6"/>
        <v>0.04362810757</v>
      </c>
      <c r="Z12" s="64">
        <f t="shared" si="7"/>
        <v>-0.21375</v>
      </c>
      <c r="AA12" s="60">
        <v>28439.0</v>
      </c>
      <c r="AB12" s="61">
        <f t="shared" si="8"/>
        <v>0.04369207984</v>
      </c>
      <c r="AC12" s="63">
        <f t="shared" si="9"/>
        <v>0.004734145911</v>
      </c>
      <c r="AD12" s="60">
        <v>29020.0</v>
      </c>
      <c r="AE12" s="61">
        <f t="shared" si="10"/>
        <v>0.04458469556</v>
      </c>
      <c r="AF12" s="63">
        <f t="shared" si="11"/>
        <v>0.02042969162</v>
      </c>
      <c r="AG12" s="60">
        <v>33798.0</v>
      </c>
      <c r="AH12" s="61">
        <f t="shared" si="12"/>
        <v>0.05192534598</v>
      </c>
      <c r="AI12" s="63">
        <f t="shared" si="13"/>
        <v>0.1646450724</v>
      </c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</row>
    <row r="13">
      <c r="A13" s="50">
        <f t="shared" si="14"/>
        <v>10</v>
      </c>
      <c r="B13" s="51" t="s">
        <v>35</v>
      </c>
      <c r="C13" s="52">
        <v>333505.0</v>
      </c>
      <c r="D13" s="53">
        <v>27792.0</v>
      </c>
      <c r="E13" s="54">
        <v>0.0458</v>
      </c>
      <c r="F13" s="52">
        <v>30300.0</v>
      </c>
      <c r="G13" s="55">
        <v>0.0506</v>
      </c>
      <c r="H13" s="56">
        <v>-0.0226</v>
      </c>
      <c r="I13" s="52">
        <v>28777.0</v>
      </c>
      <c r="J13" s="55">
        <v>0.048</v>
      </c>
      <c r="K13" s="56">
        <v>-0.0503</v>
      </c>
      <c r="L13" s="58">
        <v>28743.0</v>
      </c>
      <c r="M13" s="55">
        <v>0.048</v>
      </c>
      <c r="N13" s="59">
        <v>-0.0012</v>
      </c>
      <c r="O13" s="60">
        <f t="shared" si="1"/>
        <v>87820</v>
      </c>
      <c r="P13" s="60">
        <f t="shared" si="2"/>
        <v>29273.33333</v>
      </c>
      <c r="Q13" s="61">
        <f t="shared" si="3"/>
        <v>0.0471958202</v>
      </c>
      <c r="R13" s="60">
        <v>27230.0</v>
      </c>
      <c r="S13" s="55">
        <v>0.0432</v>
      </c>
      <c r="T13" s="57">
        <v>-0.0526</v>
      </c>
      <c r="U13" s="58">
        <v>21400.0</v>
      </c>
      <c r="V13" s="55">
        <f t="shared" si="4"/>
        <v>0.03406710264</v>
      </c>
      <c r="W13" s="62">
        <f t="shared" si="5"/>
        <v>-0.2141020933</v>
      </c>
      <c r="X13" s="60">
        <v>27758.0</v>
      </c>
      <c r="Y13" s="61">
        <f t="shared" si="6"/>
        <v>0.04278498533</v>
      </c>
      <c r="Z13" s="64">
        <f t="shared" si="7"/>
        <v>0.2971028037</v>
      </c>
      <c r="AA13" s="60">
        <v>28039.0</v>
      </c>
      <c r="AB13" s="61">
        <f t="shared" si="8"/>
        <v>0.04307754234</v>
      </c>
      <c r="AC13" s="63">
        <f t="shared" si="9"/>
        <v>0.01012320772</v>
      </c>
      <c r="AD13" s="60">
        <v>28231.0</v>
      </c>
      <c r="AE13" s="61">
        <f t="shared" si="10"/>
        <v>0.04337252034</v>
      </c>
      <c r="AF13" s="63">
        <f t="shared" si="11"/>
        <v>0.006847605121</v>
      </c>
      <c r="AG13" s="60">
        <v>30200.0</v>
      </c>
      <c r="AH13" s="61">
        <f t="shared" si="12"/>
        <v>0.04639758118</v>
      </c>
      <c r="AI13" s="63">
        <f t="shared" si="13"/>
        <v>0.06974602387</v>
      </c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</row>
    <row r="14">
      <c r="A14" s="67">
        <f t="shared" si="14"/>
        <v>11</v>
      </c>
      <c r="B14" s="68" t="s">
        <v>36</v>
      </c>
      <c r="C14" s="69">
        <v>285708.0</v>
      </c>
      <c r="D14" s="70">
        <v>23809.0</v>
      </c>
      <c r="E14" s="71">
        <v>0.0393</v>
      </c>
      <c r="F14" s="69">
        <v>23000.0</v>
      </c>
      <c r="G14" s="72">
        <v>0.0384</v>
      </c>
      <c r="H14" s="73">
        <v>0.0222</v>
      </c>
      <c r="I14" s="69">
        <v>24000.0</v>
      </c>
      <c r="J14" s="72">
        <v>0.0401</v>
      </c>
      <c r="K14" s="74">
        <v>0.0435</v>
      </c>
      <c r="L14" s="75">
        <v>25522.0</v>
      </c>
      <c r="M14" s="72">
        <v>0.0426</v>
      </c>
      <c r="N14" s="76">
        <v>0.0634</v>
      </c>
      <c r="O14" s="77">
        <f t="shared" si="1"/>
        <v>72522</v>
      </c>
      <c r="P14" s="77">
        <f t="shared" si="2"/>
        <v>24174</v>
      </c>
      <c r="Q14" s="78">
        <f t="shared" si="3"/>
        <v>0.03897443945</v>
      </c>
      <c r="R14" s="77">
        <v>29140.0</v>
      </c>
      <c r="S14" s="72">
        <v>0.0432</v>
      </c>
      <c r="T14" s="74">
        <v>0.1418</v>
      </c>
      <c r="U14" s="75">
        <v>21850.0</v>
      </c>
      <c r="V14" s="72">
        <f t="shared" si="4"/>
        <v>0.03478346695</v>
      </c>
      <c r="W14" s="79">
        <f t="shared" si="5"/>
        <v>-0.2501715854</v>
      </c>
      <c r="X14" s="77">
        <v>23700.0</v>
      </c>
      <c r="Y14" s="78">
        <f t="shared" si="6"/>
        <v>0.03653015896</v>
      </c>
      <c r="Z14" s="80">
        <f t="shared" si="7"/>
        <v>0.08466819222</v>
      </c>
      <c r="AA14" s="77">
        <v>24840.0</v>
      </c>
      <c r="AB14" s="78">
        <f t="shared" si="8"/>
        <v>0.03816277869</v>
      </c>
      <c r="AC14" s="80">
        <f t="shared" si="9"/>
        <v>0.04810126582</v>
      </c>
      <c r="AD14" s="77">
        <v>24153.0</v>
      </c>
      <c r="AE14" s="78">
        <f t="shared" si="10"/>
        <v>0.03710731054</v>
      </c>
      <c r="AF14" s="81">
        <f t="shared" si="11"/>
        <v>-0.02765700483</v>
      </c>
      <c r="AG14" s="77">
        <v>23300.0</v>
      </c>
      <c r="AH14" s="78">
        <f t="shared" si="12"/>
        <v>0.03579680932</v>
      </c>
      <c r="AI14" s="81">
        <f t="shared" si="13"/>
        <v>-0.03531652383</v>
      </c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</row>
    <row r="15">
      <c r="A15" s="67">
        <f t="shared" si="14"/>
        <v>12</v>
      </c>
      <c r="B15" s="68" t="s">
        <v>37</v>
      </c>
      <c r="C15" s="69">
        <v>148433.0</v>
      </c>
      <c r="D15" s="70">
        <v>12369.0</v>
      </c>
      <c r="E15" s="71">
        <v>0.0204</v>
      </c>
      <c r="F15" s="69">
        <v>21560.0</v>
      </c>
      <c r="G15" s="72">
        <v>0.036</v>
      </c>
      <c r="H15" s="82">
        <v>-0.02</v>
      </c>
      <c r="I15" s="69">
        <v>22000.0</v>
      </c>
      <c r="J15" s="72">
        <v>0.0367</v>
      </c>
      <c r="K15" s="74">
        <v>0.0204</v>
      </c>
      <c r="L15" s="75">
        <v>25233.0</v>
      </c>
      <c r="M15" s="72">
        <v>0.0421</v>
      </c>
      <c r="N15" s="76">
        <v>0.147</v>
      </c>
      <c r="O15" s="77">
        <f t="shared" si="1"/>
        <v>68793</v>
      </c>
      <c r="P15" s="77">
        <f t="shared" si="2"/>
        <v>22931</v>
      </c>
      <c r="Q15" s="78">
        <f t="shared" si="3"/>
        <v>0.03697041743</v>
      </c>
      <c r="R15" s="77">
        <v>26300.0</v>
      </c>
      <c r="S15" s="72">
        <v>0.0417</v>
      </c>
      <c r="T15" s="74">
        <v>0.0423</v>
      </c>
      <c r="U15" s="75">
        <v>26780.0</v>
      </c>
      <c r="V15" s="72">
        <f t="shared" si="4"/>
        <v>0.04263163592</v>
      </c>
      <c r="W15" s="76">
        <f t="shared" si="5"/>
        <v>0.01825095057</v>
      </c>
      <c r="X15" s="77">
        <v>24556.0</v>
      </c>
      <c r="Y15" s="78">
        <f t="shared" si="6"/>
        <v>0.03784956048</v>
      </c>
      <c r="Z15" s="81">
        <f t="shared" si="7"/>
        <v>-0.08304705004</v>
      </c>
      <c r="AA15" s="77">
        <v>22836.0</v>
      </c>
      <c r="AB15" s="78">
        <f t="shared" si="8"/>
        <v>0.03508394582</v>
      </c>
      <c r="AC15" s="81">
        <f t="shared" si="9"/>
        <v>-0.0700439811</v>
      </c>
      <c r="AD15" s="77">
        <v>23501.0</v>
      </c>
      <c r="AE15" s="78">
        <f t="shared" si="10"/>
        <v>0.03610561441</v>
      </c>
      <c r="AF15" s="80">
        <f t="shared" si="11"/>
        <v>0.02912068664</v>
      </c>
      <c r="AG15" s="77">
        <v>24105.0</v>
      </c>
      <c r="AH15" s="78">
        <f t="shared" si="12"/>
        <v>0.03703356604</v>
      </c>
      <c r="AI15" s="80">
        <f t="shared" si="13"/>
        <v>0.025701034</v>
      </c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</row>
    <row r="16">
      <c r="A16" s="67">
        <f t="shared" si="14"/>
        <v>13</v>
      </c>
      <c r="B16" s="68" t="s">
        <v>38</v>
      </c>
      <c r="C16" s="69">
        <v>430947.0</v>
      </c>
      <c r="D16" s="70">
        <v>35912.0</v>
      </c>
      <c r="E16" s="71">
        <v>0.0592</v>
      </c>
      <c r="F16" s="69">
        <v>27700.0</v>
      </c>
      <c r="G16" s="72">
        <v>0.0463</v>
      </c>
      <c r="H16" s="82">
        <v>-0.0948</v>
      </c>
      <c r="I16" s="69">
        <v>24500.0</v>
      </c>
      <c r="J16" s="72">
        <v>0.0409</v>
      </c>
      <c r="K16" s="82">
        <v>-0.1155</v>
      </c>
      <c r="L16" s="75">
        <v>27000.0</v>
      </c>
      <c r="M16" s="72">
        <v>0.0451</v>
      </c>
      <c r="N16" s="76">
        <v>0.102</v>
      </c>
      <c r="O16" s="77">
        <f t="shared" si="1"/>
        <v>79200</v>
      </c>
      <c r="P16" s="77">
        <f t="shared" si="2"/>
        <v>26400</v>
      </c>
      <c r="Q16" s="78">
        <f t="shared" si="3"/>
        <v>0.04256329947</v>
      </c>
      <c r="R16" s="77">
        <v>24687.0</v>
      </c>
      <c r="S16" s="72">
        <v>0.0392</v>
      </c>
      <c r="T16" s="82">
        <v>-0.0857</v>
      </c>
      <c r="U16" s="75">
        <v>22647.0</v>
      </c>
      <c r="V16" s="72">
        <f t="shared" si="4"/>
        <v>0.03605222773</v>
      </c>
      <c r="W16" s="79">
        <f t="shared" si="5"/>
        <v>-0.082634585</v>
      </c>
      <c r="X16" s="77">
        <v>22607.0</v>
      </c>
      <c r="Y16" s="78">
        <f t="shared" si="6"/>
        <v>0.03484545585</v>
      </c>
      <c r="Z16" s="81">
        <f t="shared" si="7"/>
        <v>-0.001766238354</v>
      </c>
      <c r="AA16" s="77">
        <v>21821.0</v>
      </c>
      <c r="AB16" s="78">
        <f t="shared" si="8"/>
        <v>0.03352455692</v>
      </c>
      <c r="AC16" s="81">
        <f t="shared" si="9"/>
        <v>-0.03476799221</v>
      </c>
      <c r="AD16" s="77">
        <v>21589.0</v>
      </c>
      <c r="AE16" s="78">
        <f t="shared" si="10"/>
        <v>0.03316812517</v>
      </c>
      <c r="AF16" s="81">
        <f t="shared" si="11"/>
        <v>-0.01063196004</v>
      </c>
      <c r="AG16" s="77">
        <v>21530.0</v>
      </c>
      <c r="AH16" s="78">
        <f t="shared" si="12"/>
        <v>0.03307748089</v>
      </c>
      <c r="AI16" s="81">
        <f t="shared" si="13"/>
        <v>-0.002732873222</v>
      </c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</row>
    <row r="17">
      <c r="A17" s="83">
        <f t="shared" si="14"/>
        <v>14</v>
      </c>
      <c r="B17" s="84" t="s">
        <v>39</v>
      </c>
      <c r="C17" s="85">
        <v>228832.0</v>
      </c>
      <c r="D17" s="86">
        <v>19069.0</v>
      </c>
      <c r="E17" s="87">
        <v>0.0314</v>
      </c>
      <c r="F17" s="85">
        <v>23800.0</v>
      </c>
      <c r="G17" s="88">
        <v>0.0398</v>
      </c>
      <c r="H17" s="89">
        <v>-0.048</v>
      </c>
      <c r="I17" s="85">
        <v>18400.0</v>
      </c>
      <c r="J17" s="88">
        <v>0.0307</v>
      </c>
      <c r="K17" s="89">
        <v>-0.2269</v>
      </c>
      <c r="L17" s="90">
        <v>21802.0</v>
      </c>
      <c r="M17" s="88">
        <v>0.0364</v>
      </c>
      <c r="N17" s="91">
        <v>0.1849</v>
      </c>
      <c r="O17" s="92">
        <f t="shared" si="1"/>
        <v>64002</v>
      </c>
      <c r="P17" s="92">
        <f t="shared" si="2"/>
        <v>21334</v>
      </c>
      <c r="Q17" s="93">
        <f t="shared" si="3"/>
        <v>0.03439566026</v>
      </c>
      <c r="R17" s="92">
        <v>21880.0</v>
      </c>
      <c r="S17" s="88">
        <v>0.0347</v>
      </c>
      <c r="T17" s="94">
        <v>0.0036</v>
      </c>
      <c r="U17" s="90">
        <v>20990.0</v>
      </c>
      <c r="V17" s="88">
        <f t="shared" si="4"/>
        <v>0.03341441516</v>
      </c>
      <c r="W17" s="95">
        <f t="shared" si="5"/>
        <v>-0.04067641682</v>
      </c>
      <c r="X17" s="92">
        <v>19200.0</v>
      </c>
      <c r="Y17" s="93">
        <f t="shared" si="6"/>
        <v>0.02959405283</v>
      </c>
      <c r="Z17" s="96">
        <f t="shared" si="7"/>
        <v>-0.08527870414</v>
      </c>
      <c r="AA17" s="92">
        <v>19461.0</v>
      </c>
      <c r="AB17" s="93">
        <f t="shared" si="8"/>
        <v>0.02989878567</v>
      </c>
      <c r="AC17" s="97">
        <f t="shared" si="9"/>
        <v>0.01359375</v>
      </c>
      <c r="AD17" s="92">
        <v>18584.0</v>
      </c>
      <c r="AE17" s="93">
        <f t="shared" si="10"/>
        <v>0.02855141221</v>
      </c>
      <c r="AF17" s="96">
        <f t="shared" si="11"/>
        <v>-0.04506448795</v>
      </c>
      <c r="AG17" s="92">
        <v>18205.0</v>
      </c>
      <c r="AH17" s="93">
        <f t="shared" si="12"/>
        <v>0.02796913793</v>
      </c>
      <c r="AI17" s="96">
        <f t="shared" si="13"/>
        <v>-0.02039388721</v>
      </c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</row>
    <row r="18">
      <c r="A18" s="98">
        <f t="shared" si="14"/>
        <v>15</v>
      </c>
      <c r="B18" s="99" t="s">
        <v>40</v>
      </c>
      <c r="C18" s="100">
        <v>96373.0</v>
      </c>
      <c r="D18" s="101">
        <v>8031.0</v>
      </c>
      <c r="E18" s="102">
        <v>0.0132</v>
      </c>
      <c r="F18" s="100">
        <v>15417.0</v>
      </c>
      <c r="G18" s="103">
        <v>0.0258</v>
      </c>
      <c r="H18" s="104">
        <v>0.1327</v>
      </c>
      <c r="I18" s="100">
        <v>14744.0</v>
      </c>
      <c r="J18" s="103">
        <v>0.0246</v>
      </c>
      <c r="K18" s="105">
        <v>-0.0437</v>
      </c>
      <c r="L18" s="106">
        <v>15147.0</v>
      </c>
      <c r="M18" s="103">
        <v>0.0253</v>
      </c>
      <c r="N18" s="107">
        <v>0.0273</v>
      </c>
      <c r="O18" s="108">
        <f t="shared" si="1"/>
        <v>45308</v>
      </c>
      <c r="P18" s="108">
        <f t="shared" si="2"/>
        <v>15102.66667</v>
      </c>
      <c r="Q18" s="109">
        <f t="shared" si="3"/>
        <v>0.02434921682</v>
      </c>
      <c r="R18" s="108">
        <v>16290.0</v>
      </c>
      <c r="S18" s="103">
        <v>0.0258</v>
      </c>
      <c r="T18" s="110">
        <v>0.0755</v>
      </c>
      <c r="U18" s="106">
        <v>14054.0</v>
      </c>
      <c r="V18" s="103">
        <f t="shared" si="4"/>
        <v>0.02237285329</v>
      </c>
      <c r="W18" s="111">
        <f t="shared" si="5"/>
        <v>-0.137262124</v>
      </c>
      <c r="X18" s="112">
        <v>15100.0</v>
      </c>
      <c r="Y18" s="113">
        <f t="shared" si="6"/>
        <v>0.02327448946</v>
      </c>
      <c r="Z18" s="114">
        <f t="shared" si="7"/>
        <v>0.07442720934</v>
      </c>
      <c r="AA18" s="112">
        <v>16102.0</v>
      </c>
      <c r="AB18" s="113">
        <f t="shared" si="8"/>
        <v>0.02473820703</v>
      </c>
      <c r="AC18" s="114">
        <f t="shared" si="9"/>
        <v>0.06635761589</v>
      </c>
      <c r="AD18" s="112">
        <v>19332.0</v>
      </c>
      <c r="AE18" s="113">
        <f t="shared" si="10"/>
        <v>0.02970059733</v>
      </c>
      <c r="AF18" s="114">
        <f t="shared" si="11"/>
        <v>0.2005961992</v>
      </c>
      <c r="AG18" s="112">
        <v>20181.0</v>
      </c>
      <c r="AH18" s="113">
        <f t="shared" si="12"/>
        <v>0.03100495317</v>
      </c>
      <c r="AI18" s="114">
        <f t="shared" si="13"/>
        <v>0.04391682185</v>
      </c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</row>
    <row r="19">
      <c r="A19" s="115">
        <f t="shared" si="14"/>
        <v>16</v>
      </c>
      <c r="B19" s="116" t="s">
        <v>41</v>
      </c>
      <c r="C19" s="117">
        <v>112643.0</v>
      </c>
      <c r="D19" s="118">
        <v>9387.0</v>
      </c>
      <c r="E19" s="119">
        <v>0.0155</v>
      </c>
      <c r="F19" s="120">
        <v>4900.0</v>
      </c>
      <c r="G19" s="121">
        <v>0.0082</v>
      </c>
      <c r="H19" s="122">
        <v>-0.2794</v>
      </c>
      <c r="I19" s="120">
        <v>5307.0</v>
      </c>
      <c r="J19" s="121">
        <v>0.0089</v>
      </c>
      <c r="K19" s="123">
        <v>0.0831</v>
      </c>
      <c r="L19" s="124">
        <v>6011.0</v>
      </c>
      <c r="M19" s="121">
        <v>0.01</v>
      </c>
      <c r="N19" s="125">
        <v>0.1327</v>
      </c>
      <c r="O19" s="126">
        <f t="shared" si="1"/>
        <v>16218</v>
      </c>
      <c r="P19" s="126">
        <f t="shared" si="2"/>
        <v>5406</v>
      </c>
      <c r="Q19" s="127">
        <f t="shared" si="3"/>
        <v>0.008715802915</v>
      </c>
      <c r="R19" s="126">
        <v>6500.0</v>
      </c>
      <c r="S19" s="121">
        <v>0.0103</v>
      </c>
      <c r="T19" s="123">
        <v>0.0814</v>
      </c>
      <c r="U19" s="124">
        <v>6980.0</v>
      </c>
      <c r="V19" s="121">
        <f t="shared" si="4"/>
        <v>0.01111160638</v>
      </c>
      <c r="W19" s="125">
        <f t="shared" si="5"/>
        <v>0.07384615385</v>
      </c>
      <c r="X19" s="126">
        <v>12100.0</v>
      </c>
      <c r="Y19" s="127">
        <f t="shared" si="6"/>
        <v>0.01865041871</v>
      </c>
      <c r="Z19" s="128">
        <f t="shared" si="7"/>
        <v>0.7335243553</v>
      </c>
      <c r="AA19" s="126">
        <v>13430.0</v>
      </c>
      <c r="AB19" s="127">
        <f t="shared" si="8"/>
        <v>0.02063309653</v>
      </c>
      <c r="AC19" s="128">
        <f t="shared" si="9"/>
        <v>0.1099173554</v>
      </c>
      <c r="AD19" s="126">
        <v>13856.0</v>
      </c>
      <c r="AE19" s="127">
        <f t="shared" si="10"/>
        <v>0.02128757897</v>
      </c>
      <c r="AF19" s="128">
        <f t="shared" si="11"/>
        <v>0.03172002978</v>
      </c>
      <c r="AG19" s="126">
        <v>14784.0</v>
      </c>
      <c r="AH19" s="127">
        <f t="shared" si="12"/>
        <v>0.02271330597</v>
      </c>
      <c r="AI19" s="128">
        <f t="shared" si="13"/>
        <v>0.06697459584</v>
      </c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</row>
    <row r="20">
      <c r="A20" s="115">
        <f t="shared" si="14"/>
        <v>17</v>
      </c>
      <c r="B20" s="116" t="s">
        <v>42</v>
      </c>
      <c r="C20" s="120">
        <v>127468.0</v>
      </c>
      <c r="D20" s="118">
        <v>10622.0</v>
      </c>
      <c r="E20" s="119">
        <v>0.0175</v>
      </c>
      <c r="F20" s="120">
        <v>8011.0</v>
      </c>
      <c r="G20" s="121">
        <v>0.0134</v>
      </c>
      <c r="H20" s="122">
        <v>-0.1703</v>
      </c>
      <c r="I20" s="120">
        <v>8650.0</v>
      </c>
      <c r="J20" s="121">
        <v>0.0144</v>
      </c>
      <c r="K20" s="123">
        <v>0.0798</v>
      </c>
      <c r="L20" s="124">
        <v>9111.0</v>
      </c>
      <c r="M20" s="121">
        <v>0.0152</v>
      </c>
      <c r="N20" s="125">
        <v>0.0533</v>
      </c>
      <c r="O20" s="126">
        <f t="shared" si="1"/>
        <v>25772</v>
      </c>
      <c r="P20" s="126">
        <f t="shared" si="2"/>
        <v>8590.666667</v>
      </c>
      <c r="Q20" s="127">
        <f t="shared" si="3"/>
        <v>0.01385026962</v>
      </c>
      <c r="R20" s="126">
        <v>10778.0</v>
      </c>
      <c r="S20" s="121">
        <v>0.0171</v>
      </c>
      <c r="T20" s="123">
        <v>0.183</v>
      </c>
      <c r="U20" s="124">
        <v>11080.0</v>
      </c>
      <c r="V20" s="121">
        <f t="shared" si="4"/>
        <v>0.01763848118</v>
      </c>
      <c r="W20" s="125">
        <f t="shared" si="5"/>
        <v>0.02802004082</v>
      </c>
      <c r="X20" s="126">
        <v>13116.0</v>
      </c>
      <c r="Y20" s="127">
        <f t="shared" si="6"/>
        <v>0.02021643734</v>
      </c>
      <c r="Z20" s="128">
        <f t="shared" si="7"/>
        <v>0.1837545126</v>
      </c>
      <c r="AA20" s="126">
        <v>13250.0</v>
      </c>
      <c r="AB20" s="127">
        <f t="shared" si="8"/>
        <v>0.02035655466</v>
      </c>
      <c r="AC20" s="128">
        <f t="shared" si="9"/>
        <v>0.01021652943</v>
      </c>
      <c r="AD20" s="126">
        <v>13123.0</v>
      </c>
      <c r="AE20" s="127">
        <f t="shared" si="10"/>
        <v>0.020161439</v>
      </c>
      <c r="AF20" s="129">
        <f t="shared" si="11"/>
        <v>-0.00958490566</v>
      </c>
      <c r="AG20" s="126">
        <v>13652.0</v>
      </c>
      <c r="AH20" s="127">
        <f t="shared" si="12"/>
        <v>0.02097416484</v>
      </c>
      <c r="AI20" s="129">
        <f t="shared" si="13"/>
        <v>0.04031090452</v>
      </c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</row>
    <row r="21">
      <c r="A21" s="115">
        <f t="shared" si="14"/>
        <v>18</v>
      </c>
      <c r="B21" s="116" t="s">
        <v>43</v>
      </c>
      <c r="C21" s="120">
        <v>186425.0</v>
      </c>
      <c r="D21" s="118">
        <v>15535.0</v>
      </c>
      <c r="E21" s="119">
        <v>0.0256</v>
      </c>
      <c r="F21" s="120">
        <v>14866.0</v>
      </c>
      <c r="G21" s="121">
        <v>0.0248</v>
      </c>
      <c r="H21" s="122">
        <v>0.0925</v>
      </c>
      <c r="I21" s="120">
        <v>13107.0</v>
      </c>
      <c r="J21" s="121">
        <v>0.0219</v>
      </c>
      <c r="K21" s="123">
        <v>-0.1183</v>
      </c>
      <c r="L21" s="124">
        <v>15106.0</v>
      </c>
      <c r="M21" s="121">
        <v>0.0252</v>
      </c>
      <c r="N21" s="125">
        <v>0.1525</v>
      </c>
      <c r="O21" s="126">
        <f t="shared" si="1"/>
        <v>43079</v>
      </c>
      <c r="P21" s="126">
        <f t="shared" si="2"/>
        <v>14359.66667</v>
      </c>
      <c r="Q21" s="127">
        <f t="shared" si="3"/>
        <v>0.0231513179</v>
      </c>
      <c r="R21" s="126">
        <v>14740.0</v>
      </c>
      <c r="S21" s="121">
        <v>0.0234</v>
      </c>
      <c r="T21" s="123">
        <v>-0.0242</v>
      </c>
      <c r="U21" s="124">
        <v>13522.0</v>
      </c>
      <c r="V21" s="121">
        <f t="shared" si="4"/>
        <v>0.02152595149</v>
      </c>
      <c r="W21" s="125">
        <f t="shared" si="5"/>
        <v>-0.08263229308</v>
      </c>
      <c r="X21" s="126">
        <v>13756.0</v>
      </c>
      <c r="Y21" s="127">
        <f t="shared" si="6"/>
        <v>0.02120290577</v>
      </c>
      <c r="Z21" s="128">
        <f t="shared" si="7"/>
        <v>0.01730513238</v>
      </c>
      <c r="AA21" s="126">
        <v>13248.0</v>
      </c>
      <c r="AB21" s="127">
        <f t="shared" si="8"/>
        <v>0.02035348197</v>
      </c>
      <c r="AC21" s="129">
        <f t="shared" si="9"/>
        <v>-0.03692933992</v>
      </c>
      <c r="AD21" s="126">
        <v>12987.0</v>
      </c>
      <c r="AE21" s="127">
        <f t="shared" si="10"/>
        <v>0.01995249625</v>
      </c>
      <c r="AF21" s="129">
        <f t="shared" si="11"/>
        <v>-0.01970108696</v>
      </c>
      <c r="AG21" s="126">
        <v>13200.0</v>
      </c>
      <c r="AH21" s="127">
        <f t="shared" si="12"/>
        <v>0.02027973747</v>
      </c>
      <c r="AI21" s="129">
        <f t="shared" si="13"/>
        <v>0.0164010164</v>
      </c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</row>
    <row r="22">
      <c r="A22" s="115">
        <f t="shared" si="14"/>
        <v>19</v>
      </c>
      <c r="B22" s="116" t="s">
        <v>44</v>
      </c>
      <c r="C22" s="120">
        <v>102871.0</v>
      </c>
      <c r="D22" s="118">
        <v>8573.0</v>
      </c>
      <c r="E22" s="119">
        <v>0.0141</v>
      </c>
      <c r="F22" s="120">
        <v>8900.0</v>
      </c>
      <c r="G22" s="121">
        <v>0.0149</v>
      </c>
      <c r="H22" s="130">
        <v>0.0154</v>
      </c>
      <c r="I22" s="120">
        <v>7988.0</v>
      </c>
      <c r="J22" s="121">
        <v>0.0133</v>
      </c>
      <c r="K22" s="122">
        <v>-0.1025</v>
      </c>
      <c r="L22" s="124">
        <v>8110.0</v>
      </c>
      <c r="M22" s="121">
        <v>0.0135</v>
      </c>
      <c r="N22" s="125">
        <v>0.0153</v>
      </c>
      <c r="O22" s="126">
        <f t="shared" si="1"/>
        <v>24998</v>
      </c>
      <c r="P22" s="126">
        <f t="shared" si="2"/>
        <v>8332.666667</v>
      </c>
      <c r="Q22" s="127">
        <f t="shared" si="3"/>
        <v>0.0134343101</v>
      </c>
      <c r="R22" s="126">
        <v>11000.0</v>
      </c>
      <c r="S22" s="121">
        <v>0.0175</v>
      </c>
      <c r="T22" s="123">
        <v>0.3564</v>
      </c>
      <c r="U22" s="124">
        <v>7180.0</v>
      </c>
      <c r="V22" s="121">
        <f t="shared" si="4"/>
        <v>0.01142999051</v>
      </c>
      <c r="W22" s="131">
        <f t="shared" si="5"/>
        <v>-0.3472727273</v>
      </c>
      <c r="X22" s="126">
        <v>10868.0</v>
      </c>
      <c r="Y22" s="127">
        <f t="shared" si="6"/>
        <v>0.01675146699</v>
      </c>
      <c r="Z22" s="128">
        <f t="shared" si="7"/>
        <v>0.5136490251</v>
      </c>
      <c r="AA22" s="126">
        <v>8100.0</v>
      </c>
      <c r="AB22" s="127">
        <f t="shared" si="8"/>
        <v>0.01244438436</v>
      </c>
      <c r="AC22" s="129">
        <f t="shared" si="9"/>
        <v>-0.2546926757</v>
      </c>
      <c r="AD22" s="126">
        <v>8875.0</v>
      </c>
      <c r="AE22" s="127">
        <f t="shared" si="10"/>
        <v>0.01363505076</v>
      </c>
      <c r="AF22" s="128">
        <f t="shared" si="11"/>
        <v>0.09567901235</v>
      </c>
      <c r="AG22" s="126">
        <v>8462.0</v>
      </c>
      <c r="AH22" s="127">
        <f t="shared" si="12"/>
        <v>0.01300054079</v>
      </c>
      <c r="AI22" s="128">
        <f t="shared" si="13"/>
        <v>-0.04653521127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</row>
    <row r="23">
      <c r="A23" s="115">
        <f t="shared" si="14"/>
        <v>20</v>
      </c>
      <c r="B23" s="116" t="s">
        <v>45</v>
      </c>
      <c r="C23" s="120">
        <v>68817.0</v>
      </c>
      <c r="D23" s="118">
        <v>5735.0</v>
      </c>
      <c r="E23" s="119">
        <v>0.0095</v>
      </c>
      <c r="F23" s="120">
        <v>4011.0</v>
      </c>
      <c r="G23" s="121">
        <v>0.0067</v>
      </c>
      <c r="H23" s="122">
        <v>-0.1204</v>
      </c>
      <c r="I23" s="120">
        <v>4233.0</v>
      </c>
      <c r="J23" s="121">
        <v>0.0071</v>
      </c>
      <c r="K23" s="123">
        <v>0.0553</v>
      </c>
      <c r="L23" s="124">
        <v>4559.0</v>
      </c>
      <c r="M23" s="121">
        <v>0.0076</v>
      </c>
      <c r="N23" s="125">
        <v>0.077</v>
      </c>
      <c r="O23" s="126">
        <f t="shared" si="1"/>
        <v>12803</v>
      </c>
      <c r="P23" s="126">
        <f t="shared" si="2"/>
        <v>4267.666667</v>
      </c>
      <c r="Q23" s="127">
        <f t="shared" si="3"/>
        <v>0.006880529333</v>
      </c>
      <c r="R23" s="126">
        <v>7022.0</v>
      </c>
      <c r="S23" s="121">
        <v>0.0104</v>
      </c>
      <c r="T23" s="123">
        <v>0.5403</v>
      </c>
      <c r="U23" s="124">
        <v>7100.0</v>
      </c>
      <c r="V23" s="121">
        <f t="shared" si="4"/>
        <v>0.01130263686</v>
      </c>
      <c r="W23" s="125">
        <f t="shared" si="5"/>
        <v>0.01110794645</v>
      </c>
      <c r="X23" s="126">
        <v>8600.0</v>
      </c>
      <c r="Y23" s="127">
        <f t="shared" si="6"/>
        <v>0.0132556695</v>
      </c>
      <c r="Z23" s="128">
        <f t="shared" si="7"/>
        <v>0.2112676056</v>
      </c>
      <c r="AA23" s="126">
        <v>10620.0</v>
      </c>
      <c r="AB23" s="127">
        <f t="shared" si="8"/>
        <v>0.0163159706</v>
      </c>
      <c r="AC23" s="128">
        <f t="shared" si="9"/>
        <v>0.2348837209</v>
      </c>
      <c r="AD23" s="126">
        <v>9600.0</v>
      </c>
      <c r="AE23" s="127">
        <f t="shared" si="10"/>
        <v>0.01474889998</v>
      </c>
      <c r="AF23" s="129">
        <f t="shared" si="11"/>
        <v>-0.09604519774</v>
      </c>
      <c r="AG23" s="126">
        <v>9511.0</v>
      </c>
      <c r="AH23" s="127">
        <f t="shared" si="12"/>
        <v>0.01461216538</v>
      </c>
      <c r="AI23" s="129">
        <f t="shared" si="13"/>
        <v>-0.009270833333</v>
      </c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</row>
    <row r="24">
      <c r="A24" s="115">
        <f t="shared" si="14"/>
        <v>21</v>
      </c>
      <c r="B24" s="116" t="s">
        <v>46</v>
      </c>
      <c r="C24" s="120">
        <v>51034.0</v>
      </c>
      <c r="D24" s="118">
        <v>4253.0</v>
      </c>
      <c r="E24" s="119">
        <v>0.007</v>
      </c>
      <c r="F24" s="120">
        <v>3677.0</v>
      </c>
      <c r="G24" s="121">
        <v>0.0061</v>
      </c>
      <c r="H24" s="122">
        <v>-0.101</v>
      </c>
      <c r="I24" s="120">
        <v>3455.0</v>
      </c>
      <c r="J24" s="121">
        <v>0.0058</v>
      </c>
      <c r="K24" s="122">
        <v>-0.0604</v>
      </c>
      <c r="L24" s="124">
        <v>3666.0</v>
      </c>
      <c r="M24" s="121">
        <v>0.0061</v>
      </c>
      <c r="N24" s="125">
        <v>0.0611</v>
      </c>
      <c r="O24" s="126">
        <f t="shared" si="1"/>
        <v>10798</v>
      </c>
      <c r="P24" s="126">
        <f t="shared" si="2"/>
        <v>3599.333333</v>
      </c>
      <c r="Q24" s="127">
        <f t="shared" si="3"/>
        <v>0.005803011461</v>
      </c>
      <c r="R24" s="126">
        <v>3730.0</v>
      </c>
      <c r="S24" s="121">
        <v>0.0055</v>
      </c>
      <c r="T24" s="123">
        <v>0.0175</v>
      </c>
      <c r="U24" s="124">
        <v>3970.0</v>
      </c>
      <c r="V24" s="121">
        <f t="shared" si="4"/>
        <v>0.006319925116</v>
      </c>
      <c r="W24" s="125">
        <f t="shared" si="5"/>
        <v>0.06434316354</v>
      </c>
      <c r="X24" s="126">
        <v>6600.0</v>
      </c>
      <c r="Y24" s="127">
        <f t="shared" si="6"/>
        <v>0.01017295566</v>
      </c>
      <c r="Z24" s="128">
        <f t="shared" si="7"/>
        <v>0.6624685139</v>
      </c>
      <c r="AA24" s="126">
        <v>6770.0</v>
      </c>
      <c r="AB24" s="127">
        <f t="shared" si="8"/>
        <v>0.01040104717</v>
      </c>
      <c r="AC24" s="128">
        <f t="shared" si="9"/>
        <v>0.02575757576</v>
      </c>
      <c r="AD24" s="126">
        <v>6250.0</v>
      </c>
      <c r="AE24" s="127">
        <f t="shared" si="10"/>
        <v>0.009602148423</v>
      </c>
      <c r="AF24" s="129">
        <f t="shared" si="11"/>
        <v>-0.07680945347</v>
      </c>
      <c r="AG24" s="126">
        <v>6210.0</v>
      </c>
      <c r="AH24" s="127">
        <f t="shared" si="12"/>
        <v>0.009540694673</v>
      </c>
      <c r="AI24" s="129">
        <f t="shared" si="13"/>
        <v>-0.0064</v>
      </c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</row>
    <row r="25">
      <c r="A25" s="115">
        <f t="shared" si="14"/>
        <v>22</v>
      </c>
      <c r="B25" s="116" t="s">
        <v>47</v>
      </c>
      <c r="C25" s="120">
        <v>59114.0</v>
      </c>
      <c r="D25" s="118">
        <v>4926.0</v>
      </c>
      <c r="E25" s="119">
        <v>0.0081</v>
      </c>
      <c r="F25" s="120">
        <v>2756.0</v>
      </c>
      <c r="G25" s="121">
        <v>0.0046</v>
      </c>
      <c r="H25" s="122">
        <v>-0.1069</v>
      </c>
      <c r="I25" s="120">
        <v>2544.0</v>
      </c>
      <c r="J25" s="121">
        <v>0.0042</v>
      </c>
      <c r="K25" s="122">
        <v>-0.0769</v>
      </c>
      <c r="L25" s="124">
        <v>2666.0</v>
      </c>
      <c r="M25" s="121">
        <v>0.0045</v>
      </c>
      <c r="N25" s="125">
        <v>0.048</v>
      </c>
      <c r="O25" s="126">
        <f t="shared" si="1"/>
        <v>7966</v>
      </c>
      <c r="P25" s="126">
        <f t="shared" si="2"/>
        <v>2655.333333</v>
      </c>
      <c r="Q25" s="127">
        <f t="shared" si="3"/>
        <v>0.004281051056</v>
      </c>
      <c r="R25" s="126">
        <v>4050.0</v>
      </c>
      <c r="S25" s="121">
        <v>0.006</v>
      </c>
      <c r="T25" s="123">
        <v>0.5191</v>
      </c>
      <c r="U25" s="124">
        <v>4100.0</v>
      </c>
      <c r="V25" s="121">
        <f t="shared" si="4"/>
        <v>0.006526874805</v>
      </c>
      <c r="W25" s="125">
        <f t="shared" si="5"/>
        <v>0.01234567901</v>
      </c>
      <c r="X25" s="126">
        <v>3230.0</v>
      </c>
      <c r="Y25" s="127">
        <f t="shared" si="6"/>
        <v>0.004978582846</v>
      </c>
      <c r="Z25" s="129">
        <f t="shared" si="7"/>
        <v>-0.212195122</v>
      </c>
      <c r="AA25" s="126">
        <v>3080.0</v>
      </c>
      <c r="AB25" s="127">
        <f t="shared" si="8"/>
        <v>0.004731938743</v>
      </c>
      <c r="AC25" s="129">
        <f t="shared" si="9"/>
        <v>-0.04643962848</v>
      </c>
      <c r="AD25" s="126">
        <v>2865.0</v>
      </c>
      <c r="AE25" s="127">
        <f t="shared" si="10"/>
        <v>0.004401624837</v>
      </c>
      <c r="AF25" s="129">
        <f t="shared" si="11"/>
        <v>-0.06980519481</v>
      </c>
      <c r="AG25" s="126">
        <v>2743.0</v>
      </c>
      <c r="AH25" s="127">
        <f t="shared" si="12"/>
        <v>0.0042141909</v>
      </c>
      <c r="AI25" s="129">
        <f t="shared" si="13"/>
        <v>-0.04258289703</v>
      </c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</row>
    <row r="26">
      <c r="A26" s="132">
        <f t="shared" si="14"/>
        <v>23</v>
      </c>
      <c r="B26" s="133" t="s">
        <v>48</v>
      </c>
      <c r="C26" s="134">
        <v>776865.0</v>
      </c>
      <c r="D26" s="135">
        <v>64739.0</v>
      </c>
      <c r="E26" s="136">
        <v>0.1068</v>
      </c>
      <c r="F26" s="134">
        <v>60837.0</v>
      </c>
      <c r="G26" s="137">
        <v>0.1017</v>
      </c>
      <c r="H26" s="138">
        <v>0.0323</v>
      </c>
      <c r="I26" s="134">
        <v>68000.0</v>
      </c>
      <c r="J26" s="137">
        <v>0.1135</v>
      </c>
      <c r="K26" s="139">
        <v>0.1177</v>
      </c>
      <c r="L26" s="140">
        <v>71099.0</v>
      </c>
      <c r="M26" s="137">
        <v>0.1187</v>
      </c>
      <c r="N26" s="141">
        <v>0.0456</v>
      </c>
      <c r="O26" s="60">
        <f t="shared" si="1"/>
        <v>199936</v>
      </c>
      <c r="P26" s="60">
        <f t="shared" si="2"/>
        <v>66645.33333</v>
      </c>
      <c r="Q26" s="61">
        <f t="shared" si="3"/>
        <v>0.1074486849</v>
      </c>
      <c r="R26" s="60">
        <v>70000.0</v>
      </c>
      <c r="S26" s="137">
        <v>0.1111</v>
      </c>
      <c r="T26" s="142">
        <v>-0.0155</v>
      </c>
      <c r="U26" s="140">
        <v>72000.0</v>
      </c>
      <c r="V26" s="137">
        <f t="shared" si="4"/>
        <v>0.1146182893</v>
      </c>
      <c r="W26" s="141">
        <f t="shared" si="5"/>
        <v>0.02857142857</v>
      </c>
      <c r="X26" s="60">
        <v>80000.0</v>
      </c>
      <c r="Y26" s="61">
        <f t="shared" si="6"/>
        <v>0.1233085535</v>
      </c>
      <c r="Z26" s="63">
        <f t="shared" si="7"/>
        <v>0.1111111111</v>
      </c>
      <c r="AA26" s="60">
        <v>86000.0</v>
      </c>
      <c r="AB26" s="61">
        <f t="shared" si="8"/>
        <v>0.1321255623</v>
      </c>
      <c r="AC26" s="63">
        <f t="shared" si="9"/>
        <v>0.075</v>
      </c>
      <c r="AD26" s="60">
        <v>82500.0</v>
      </c>
      <c r="AE26" s="61">
        <f t="shared" si="10"/>
        <v>0.1267483592</v>
      </c>
      <c r="AF26" s="64">
        <f t="shared" si="11"/>
        <v>-0.04069767442</v>
      </c>
      <c r="AG26" s="60">
        <v>80300.0</v>
      </c>
      <c r="AH26" s="61">
        <f t="shared" si="12"/>
        <v>0.1233684029</v>
      </c>
      <c r="AI26" s="64">
        <f t="shared" si="13"/>
        <v>-0.02666666667</v>
      </c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</row>
    <row r="27">
      <c r="A27" s="143" t="s">
        <v>49</v>
      </c>
      <c r="B27" s="144"/>
      <c r="C27" s="145">
        <v>7277215.0</v>
      </c>
      <c r="D27" s="146">
        <v>606435.0</v>
      </c>
      <c r="E27" s="147"/>
      <c r="F27" s="145">
        <v>598441.0</v>
      </c>
      <c r="G27" s="148"/>
      <c r="H27" s="147"/>
      <c r="I27" s="145">
        <v>599034.0</v>
      </c>
      <c r="J27" s="148"/>
      <c r="K27" s="147"/>
      <c r="L27" s="149">
        <v>663283.0</v>
      </c>
      <c r="M27" s="148"/>
      <c r="N27" s="150"/>
      <c r="O27" s="151">
        <f>SUM(O4:O26)</f>
        <v>1860758</v>
      </c>
      <c r="P27" s="151"/>
      <c r="Q27" s="151"/>
      <c r="R27" s="151">
        <v>674253.0</v>
      </c>
      <c r="S27" s="148"/>
      <c r="T27" s="147"/>
      <c r="U27" s="149">
        <f>SUM(U4:U26)</f>
        <v>628172</v>
      </c>
      <c r="V27" s="148"/>
      <c r="W27" s="150"/>
      <c r="X27" s="151">
        <f>SUM(X4:X26)</f>
        <v>648779</v>
      </c>
      <c r="Y27" s="152"/>
      <c r="Z27" s="152"/>
      <c r="AA27" s="151">
        <f>SUM(AA4:AA26)</f>
        <v>650896</v>
      </c>
      <c r="AB27" s="152"/>
      <c r="AC27" s="152"/>
      <c r="AD27" s="151">
        <f>SUM(AD4:AD26)</f>
        <v>659891</v>
      </c>
      <c r="AE27" s="152"/>
      <c r="AF27" s="152"/>
      <c r="AG27" s="151">
        <f>SUM(AG4:AG26)</f>
        <v>670078</v>
      </c>
      <c r="AH27" s="152"/>
      <c r="AI27" s="152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3" t="s">
        <v>50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  <c r="Q29" s="2"/>
      <c r="R29" s="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4"/>
      <c r="C31" s="155"/>
      <c r="D31" s="155"/>
      <c r="E31" s="155"/>
      <c r="F31" s="155"/>
      <c r="G31" s="155"/>
      <c r="H31" s="156" t="s">
        <v>51</v>
      </c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</row>
    <row r="32">
      <c r="A32" s="154"/>
      <c r="C32" s="155"/>
      <c r="D32" s="157"/>
      <c r="F32" s="158"/>
      <c r="G32" s="159"/>
      <c r="I32" s="155"/>
      <c r="J32" s="155"/>
      <c r="K32" s="155"/>
      <c r="L32" s="155"/>
      <c r="M32" s="155"/>
      <c r="N32" s="155"/>
      <c r="O32" s="158"/>
      <c r="P32" s="159"/>
      <c r="Q32" s="155"/>
      <c r="R32" s="155"/>
      <c r="S32" s="155"/>
      <c r="T32" s="155"/>
      <c r="U32" s="155"/>
      <c r="V32" s="155"/>
      <c r="W32" s="155"/>
      <c r="X32" s="155"/>
      <c r="AB32" s="155"/>
      <c r="AC32" s="155"/>
    </row>
    <row r="33">
      <c r="A33" s="154"/>
      <c r="C33" s="155"/>
      <c r="F33" s="158"/>
      <c r="G33" s="159"/>
      <c r="I33" s="155"/>
      <c r="J33" s="155"/>
      <c r="K33" s="155"/>
      <c r="L33" s="155"/>
      <c r="M33" s="155"/>
      <c r="N33" s="155"/>
      <c r="O33" s="158"/>
      <c r="P33" s="159"/>
      <c r="S33" s="155"/>
      <c r="T33" s="155"/>
      <c r="U33" s="155"/>
      <c r="V33" s="155"/>
      <c r="W33" s="155"/>
      <c r="X33" s="155"/>
    </row>
    <row r="34">
      <c r="A34" s="154"/>
      <c r="C34" s="155"/>
      <c r="F34" s="158"/>
      <c r="G34" s="159"/>
      <c r="I34" s="155"/>
      <c r="J34" s="155"/>
      <c r="K34" s="155"/>
      <c r="L34" s="155"/>
      <c r="M34" s="155"/>
      <c r="N34" s="155"/>
      <c r="O34" s="158"/>
      <c r="P34" s="159"/>
      <c r="S34" s="155"/>
      <c r="T34" s="155"/>
      <c r="U34" s="155"/>
      <c r="V34" s="155"/>
      <c r="W34" s="155"/>
      <c r="X34" s="155"/>
    </row>
    <row r="35">
      <c r="A35" s="154"/>
      <c r="C35" s="155"/>
      <c r="F35" s="158"/>
      <c r="G35" s="159"/>
      <c r="I35" s="155"/>
      <c r="J35" s="155"/>
      <c r="K35" s="155"/>
      <c r="L35" s="155"/>
      <c r="M35" s="155"/>
      <c r="N35" s="155"/>
      <c r="O35" s="158"/>
      <c r="P35" s="159"/>
      <c r="S35" s="155"/>
      <c r="T35" s="155"/>
      <c r="U35" s="155"/>
      <c r="V35" s="155"/>
      <c r="W35" s="155"/>
      <c r="X35" s="155"/>
    </row>
    <row r="36">
      <c r="A36" s="154"/>
      <c r="C36" s="155"/>
      <c r="F36" s="158"/>
      <c r="G36" s="159"/>
      <c r="I36" s="155"/>
      <c r="J36" s="155"/>
      <c r="K36" s="155"/>
      <c r="L36" s="155"/>
      <c r="M36" s="155"/>
      <c r="N36" s="155"/>
      <c r="O36" s="158"/>
      <c r="P36" s="159"/>
      <c r="S36" s="155"/>
      <c r="T36" s="155"/>
      <c r="U36" s="155"/>
      <c r="V36" s="155"/>
      <c r="W36" s="155"/>
      <c r="X36" s="155"/>
    </row>
    <row r="37">
      <c r="A37" s="154"/>
      <c r="C37" s="155"/>
      <c r="F37" s="158"/>
      <c r="G37" s="159"/>
      <c r="I37" s="155"/>
      <c r="J37" s="155"/>
      <c r="K37" s="155"/>
      <c r="L37" s="155"/>
      <c r="M37" s="155"/>
      <c r="N37" s="155"/>
      <c r="O37" s="158"/>
      <c r="P37" s="159"/>
      <c r="S37" s="155"/>
      <c r="T37" s="155"/>
      <c r="U37" s="155"/>
      <c r="V37" s="155"/>
      <c r="W37" s="155"/>
      <c r="X37" s="155"/>
    </row>
    <row r="38">
      <c r="A38" s="154"/>
      <c r="C38" s="155"/>
      <c r="F38" s="158"/>
      <c r="G38" s="159"/>
      <c r="I38" s="155"/>
      <c r="J38" s="155"/>
      <c r="K38" s="155"/>
      <c r="L38" s="155"/>
      <c r="M38" s="155"/>
      <c r="N38" s="155"/>
      <c r="O38" s="158"/>
      <c r="P38" s="159"/>
      <c r="S38" s="155"/>
      <c r="T38" s="155"/>
      <c r="U38" s="155"/>
      <c r="V38" s="155"/>
      <c r="W38" s="155"/>
      <c r="X38" s="155"/>
    </row>
    <row r="39">
      <c r="A39" s="154"/>
      <c r="C39" s="155"/>
      <c r="F39" s="158"/>
      <c r="G39" s="159"/>
      <c r="I39" s="155"/>
      <c r="J39" s="155"/>
      <c r="K39" s="155"/>
      <c r="L39" s="155"/>
      <c r="M39" s="155"/>
      <c r="N39" s="155"/>
      <c r="O39" s="158"/>
      <c r="P39" s="159"/>
      <c r="S39" s="155"/>
      <c r="T39" s="155"/>
      <c r="U39" s="155"/>
      <c r="V39" s="155"/>
      <c r="W39" s="155"/>
      <c r="X39" s="155"/>
    </row>
    <row r="40">
      <c r="A40" s="154"/>
      <c r="C40" s="155"/>
      <c r="F40" s="158"/>
      <c r="G40" s="159"/>
      <c r="I40" s="155"/>
      <c r="J40" s="155"/>
      <c r="K40" s="155"/>
      <c r="L40" s="155"/>
      <c r="M40" s="155"/>
      <c r="N40" s="155"/>
      <c r="O40" s="158"/>
      <c r="P40" s="159"/>
      <c r="S40" s="155"/>
      <c r="T40" s="155"/>
      <c r="U40" s="155"/>
      <c r="V40" s="155"/>
      <c r="W40" s="155"/>
      <c r="X40" s="155"/>
    </row>
    <row r="41">
      <c r="A41" s="154"/>
      <c r="C41" s="155"/>
      <c r="F41" s="158"/>
      <c r="G41" s="159"/>
      <c r="I41" s="155"/>
      <c r="J41" s="155"/>
      <c r="K41" s="155"/>
      <c r="L41" s="155"/>
      <c r="M41" s="155"/>
      <c r="N41" s="155"/>
      <c r="O41" s="158"/>
      <c r="P41" s="159"/>
      <c r="S41" s="155"/>
      <c r="T41" s="155"/>
      <c r="U41" s="155"/>
      <c r="V41" s="155"/>
      <c r="W41" s="155"/>
      <c r="X41" s="155"/>
    </row>
    <row r="42">
      <c r="A42" s="154"/>
      <c r="C42" s="155"/>
      <c r="F42" s="158"/>
      <c r="G42" s="159"/>
      <c r="I42" s="155"/>
      <c r="J42" s="155"/>
      <c r="K42" s="155"/>
      <c r="L42" s="155"/>
      <c r="M42" s="155"/>
      <c r="N42" s="155"/>
      <c r="O42" s="158"/>
      <c r="P42" s="159"/>
      <c r="S42" s="155"/>
      <c r="T42" s="155"/>
      <c r="U42" s="155"/>
      <c r="V42" s="155"/>
      <c r="W42" s="155"/>
      <c r="X42" s="155"/>
    </row>
    <row r="43">
      <c r="A43" s="154"/>
      <c r="C43" s="155"/>
      <c r="F43" s="158"/>
      <c r="G43" s="159"/>
      <c r="I43" s="155"/>
      <c r="J43" s="155"/>
      <c r="K43" s="155"/>
      <c r="L43" s="155"/>
      <c r="M43" s="155"/>
      <c r="N43" s="155"/>
      <c r="O43" s="158"/>
      <c r="P43" s="159"/>
      <c r="S43" s="155"/>
      <c r="T43" s="155"/>
      <c r="U43" s="155"/>
      <c r="V43" s="155"/>
      <c r="W43" s="155"/>
      <c r="X43" s="155"/>
    </row>
    <row r="44">
      <c r="A44" s="154"/>
      <c r="C44" s="155"/>
      <c r="F44" s="158"/>
      <c r="G44" s="159"/>
      <c r="I44" s="155"/>
      <c r="J44" s="155"/>
      <c r="K44" s="155"/>
      <c r="L44" s="155"/>
      <c r="M44" s="155"/>
      <c r="N44" s="155"/>
      <c r="O44" s="158"/>
      <c r="P44" s="159"/>
      <c r="S44" s="155"/>
      <c r="T44" s="155"/>
      <c r="U44" s="155"/>
      <c r="V44" s="155"/>
      <c r="W44" s="155"/>
      <c r="X44" s="155"/>
    </row>
    <row r="45">
      <c r="A45" s="154"/>
      <c r="C45" s="155"/>
      <c r="F45" s="158"/>
      <c r="G45" s="159"/>
      <c r="I45" s="155"/>
      <c r="J45" s="155"/>
      <c r="K45" s="155"/>
      <c r="L45" s="155"/>
      <c r="M45" s="155"/>
      <c r="N45" s="155"/>
      <c r="O45" s="158"/>
      <c r="P45" s="159"/>
      <c r="S45" s="155"/>
      <c r="T45" s="155"/>
      <c r="U45" s="155"/>
      <c r="V45" s="155"/>
      <c r="W45" s="155"/>
      <c r="X45" s="155"/>
    </row>
    <row r="46">
      <c r="A46" s="154"/>
      <c r="C46" s="155"/>
      <c r="F46" s="158"/>
      <c r="G46" s="159"/>
      <c r="I46" s="155"/>
      <c r="J46" s="155"/>
      <c r="K46" s="155"/>
      <c r="L46" s="155"/>
      <c r="M46" s="155"/>
      <c r="N46" s="155"/>
      <c r="O46" s="158"/>
      <c r="P46" s="159"/>
      <c r="S46" s="155"/>
      <c r="T46" s="155"/>
      <c r="U46" s="155"/>
      <c r="V46" s="155"/>
      <c r="W46" s="155"/>
      <c r="X46" s="155"/>
    </row>
    <row r="47">
      <c r="A47" s="154"/>
      <c r="C47" s="155"/>
      <c r="F47" s="158"/>
      <c r="G47" s="159"/>
      <c r="I47" s="155"/>
      <c r="J47" s="155"/>
      <c r="K47" s="155"/>
      <c r="L47" s="155"/>
      <c r="M47" s="155"/>
      <c r="N47" s="155"/>
      <c r="O47" s="158"/>
      <c r="P47" s="159"/>
      <c r="S47" s="155"/>
      <c r="T47" s="155"/>
      <c r="U47" s="155"/>
      <c r="V47" s="155"/>
      <c r="W47" s="155"/>
      <c r="X47" s="155"/>
    </row>
    <row r="48">
      <c r="A48" s="154"/>
      <c r="C48" s="155"/>
      <c r="F48" s="158"/>
      <c r="G48" s="159"/>
      <c r="I48" s="155"/>
      <c r="J48" s="155"/>
      <c r="K48" s="155"/>
      <c r="L48" s="155"/>
      <c r="M48" s="155"/>
      <c r="N48" s="155"/>
      <c r="O48" s="158"/>
      <c r="P48" s="159"/>
      <c r="S48" s="155"/>
      <c r="T48" s="155"/>
      <c r="U48" s="155"/>
      <c r="V48" s="155"/>
      <c r="W48" s="155"/>
      <c r="X48" s="155"/>
    </row>
    <row r="49">
      <c r="A49" s="154"/>
      <c r="C49" s="155"/>
      <c r="F49" s="158"/>
      <c r="G49" s="159"/>
      <c r="I49" s="155"/>
      <c r="J49" s="155"/>
      <c r="K49" s="155"/>
      <c r="L49" s="155"/>
      <c r="M49" s="155"/>
      <c r="N49" s="155"/>
      <c r="O49" s="158"/>
      <c r="P49" s="159"/>
      <c r="S49" s="155"/>
      <c r="T49" s="155"/>
      <c r="U49" s="155"/>
      <c r="V49" s="155"/>
      <c r="W49" s="155"/>
      <c r="X49" s="155"/>
    </row>
    <row r="50">
      <c r="A50" s="154"/>
      <c r="C50" s="155"/>
      <c r="F50" s="158"/>
      <c r="G50" s="159"/>
      <c r="I50" s="155"/>
      <c r="J50" s="155"/>
      <c r="K50" s="155"/>
      <c r="L50" s="155"/>
      <c r="M50" s="155"/>
      <c r="N50" s="155"/>
      <c r="O50" s="158"/>
      <c r="P50" s="159"/>
      <c r="S50" s="155"/>
      <c r="T50" s="155"/>
      <c r="U50" s="155"/>
      <c r="V50" s="155"/>
      <c r="W50" s="155"/>
      <c r="X50" s="155"/>
    </row>
    <row r="51">
      <c r="A51" s="154"/>
      <c r="C51" s="155"/>
      <c r="F51" s="158"/>
      <c r="G51" s="159"/>
      <c r="I51" s="155"/>
      <c r="J51" s="155"/>
      <c r="K51" s="155"/>
      <c r="L51" s="155"/>
      <c r="M51" s="155"/>
      <c r="N51" s="155"/>
      <c r="O51" s="158"/>
      <c r="P51" s="159"/>
      <c r="S51" s="155"/>
      <c r="T51" s="155"/>
      <c r="U51" s="155"/>
      <c r="V51" s="155"/>
      <c r="W51" s="155"/>
      <c r="X51" s="155"/>
    </row>
    <row r="52">
      <c r="A52" s="154"/>
      <c r="C52" s="155"/>
      <c r="F52" s="158"/>
      <c r="G52" s="159"/>
      <c r="I52" s="155"/>
      <c r="J52" s="155"/>
      <c r="K52" s="155"/>
      <c r="L52" s="155"/>
      <c r="M52" s="155"/>
      <c r="N52" s="155"/>
      <c r="O52" s="158"/>
      <c r="P52" s="159"/>
      <c r="S52" s="155"/>
      <c r="T52" s="155"/>
      <c r="U52" s="155"/>
      <c r="V52" s="155"/>
      <c r="W52" s="155"/>
      <c r="X52" s="155"/>
    </row>
    <row r="53">
      <c r="A53" s="154"/>
      <c r="C53" s="155"/>
      <c r="F53" s="158"/>
      <c r="G53" s="159"/>
      <c r="I53" s="155"/>
      <c r="J53" s="155"/>
      <c r="K53" s="155"/>
      <c r="L53" s="155"/>
      <c r="M53" s="155"/>
      <c r="N53" s="155"/>
      <c r="O53" s="158"/>
      <c r="P53" s="159"/>
      <c r="S53" s="155"/>
      <c r="T53" s="155"/>
      <c r="U53" s="155"/>
      <c r="V53" s="155"/>
      <c r="W53" s="155"/>
      <c r="X53" s="155"/>
    </row>
    <row r="54">
      <c r="A54" s="154"/>
      <c r="C54" s="155"/>
      <c r="F54" s="158"/>
      <c r="G54" s="159"/>
      <c r="I54" s="155"/>
      <c r="J54" s="155"/>
      <c r="K54" s="155"/>
      <c r="L54" s="155"/>
      <c r="M54" s="155"/>
      <c r="N54" s="155"/>
      <c r="O54" s="158"/>
      <c r="P54" s="159"/>
      <c r="S54" s="155"/>
      <c r="T54" s="155"/>
      <c r="U54" s="155"/>
      <c r="V54" s="155"/>
      <c r="W54" s="155"/>
      <c r="X54" s="155"/>
    </row>
    <row r="55">
      <c r="A55" s="154"/>
      <c r="C55" s="155"/>
      <c r="F55" s="158"/>
      <c r="G55" s="159"/>
      <c r="I55" s="155"/>
      <c r="J55" s="155"/>
      <c r="K55" s="155"/>
      <c r="L55" s="155"/>
      <c r="M55" s="155"/>
      <c r="N55" s="155"/>
      <c r="O55" s="158"/>
      <c r="P55" s="159"/>
      <c r="S55" s="155"/>
      <c r="T55" s="155"/>
      <c r="U55" s="155"/>
      <c r="V55" s="155"/>
      <c r="W55" s="155"/>
      <c r="X55" s="155"/>
    </row>
    <row r="56">
      <c r="A56" s="154"/>
      <c r="C56" s="155"/>
      <c r="F56" s="158"/>
      <c r="G56" s="159"/>
      <c r="I56" s="155"/>
      <c r="J56" s="155"/>
      <c r="K56" s="155"/>
      <c r="L56" s="155"/>
      <c r="M56" s="155"/>
      <c r="N56" s="155"/>
      <c r="O56" s="158"/>
      <c r="P56" s="159"/>
      <c r="S56" s="155"/>
      <c r="T56" s="155"/>
      <c r="U56" s="155"/>
      <c r="V56" s="155"/>
      <c r="W56" s="155"/>
      <c r="X56" s="155"/>
    </row>
    <row r="57">
      <c r="A57" s="154"/>
      <c r="C57" s="155"/>
      <c r="F57" s="158"/>
      <c r="G57" s="159"/>
      <c r="I57" s="155"/>
      <c r="J57" s="155"/>
      <c r="K57" s="155"/>
      <c r="L57" s="155"/>
      <c r="M57" s="155"/>
      <c r="N57" s="155"/>
      <c r="O57" s="158"/>
      <c r="P57" s="159"/>
      <c r="S57" s="155"/>
      <c r="T57" s="155"/>
      <c r="U57" s="155"/>
      <c r="V57" s="155"/>
      <c r="W57" s="155"/>
      <c r="X57" s="155"/>
    </row>
    <row r="58">
      <c r="A58" s="154"/>
      <c r="C58" s="155"/>
      <c r="F58" s="158"/>
      <c r="G58" s="159"/>
      <c r="I58" s="155"/>
      <c r="J58" s="155"/>
      <c r="K58" s="155"/>
      <c r="L58" s="155"/>
      <c r="M58" s="155"/>
      <c r="N58" s="155"/>
      <c r="O58" s="158"/>
      <c r="P58" s="159"/>
      <c r="S58" s="155"/>
      <c r="T58" s="155"/>
      <c r="U58" s="155"/>
      <c r="V58" s="155"/>
      <c r="W58" s="155"/>
      <c r="X58" s="155"/>
    </row>
    <row r="59">
      <c r="A59" s="154"/>
      <c r="C59" s="155"/>
      <c r="F59" s="158"/>
      <c r="G59" s="159"/>
      <c r="I59" s="155"/>
      <c r="J59" s="155"/>
      <c r="K59" s="155"/>
      <c r="L59" s="155"/>
      <c r="M59" s="155"/>
      <c r="N59" s="155"/>
      <c r="O59" s="158"/>
      <c r="P59" s="159"/>
      <c r="S59" s="155"/>
      <c r="T59" s="155"/>
      <c r="U59" s="155"/>
      <c r="V59" s="155"/>
      <c r="W59" s="155"/>
      <c r="X59" s="155"/>
    </row>
    <row r="60">
      <c r="A60" s="154"/>
      <c r="C60" s="155"/>
      <c r="F60" s="158"/>
      <c r="G60" s="159"/>
      <c r="I60" s="155"/>
      <c r="J60" s="155"/>
      <c r="K60" s="155"/>
      <c r="L60" s="155"/>
      <c r="M60" s="155"/>
      <c r="N60" s="155"/>
      <c r="O60" s="158"/>
      <c r="P60" s="159"/>
      <c r="S60" s="155"/>
      <c r="T60" s="155"/>
      <c r="U60" s="155"/>
      <c r="V60" s="155"/>
      <c r="W60" s="155"/>
      <c r="X60" s="155"/>
    </row>
    <row r="61">
      <c r="A61" s="154"/>
      <c r="C61" s="155"/>
      <c r="F61" s="158"/>
      <c r="G61" s="159"/>
      <c r="I61" s="155"/>
      <c r="J61" s="155"/>
      <c r="K61" s="155"/>
      <c r="L61" s="155"/>
      <c r="M61" s="155"/>
      <c r="N61" s="155"/>
      <c r="O61" s="158"/>
      <c r="P61" s="159"/>
      <c r="S61" s="155"/>
      <c r="T61" s="155"/>
      <c r="U61" s="155"/>
      <c r="V61" s="155"/>
      <c r="W61" s="155"/>
      <c r="X61" s="155"/>
    </row>
    <row r="62">
      <c r="A62" s="154"/>
      <c r="C62" s="155"/>
      <c r="F62" s="158"/>
      <c r="G62" s="159"/>
      <c r="I62" s="155"/>
      <c r="J62" s="155"/>
      <c r="K62" s="155"/>
      <c r="L62" s="155"/>
      <c r="M62" s="155"/>
      <c r="N62" s="155"/>
      <c r="O62" s="158"/>
      <c r="P62" s="159"/>
      <c r="S62" s="155"/>
      <c r="T62" s="155"/>
      <c r="U62" s="155"/>
      <c r="V62" s="155"/>
      <c r="W62" s="155"/>
      <c r="X62" s="155"/>
    </row>
    <row r="63">
      <c r="A63" s="154"/>
      <c r="C63" s="155"/>
      <c r="F63" s="158"/>
      <c r="G63" s="159"/>
      <c r="I63" s="155"/>
      <c r="J63" s="155"/>
      <c r="K63" s="155"/>
      <c r="L63" s="155"/>
      <c r="M63" s="155"/>
      <c r="N63" s="155"/>
      <c r="O63" s="158"/>
      <c r="P63" s="159"/>
      <c r="S63" s="155"/>
      <c r="T63" s="155"/>
      <c r="U63" s="155"/>
      <c r="V63" s="155"/>
      <c r="W63" s="155"/>
      <c r="X63" s="155"/>
    </row>
    <row r="64">
      <c r="A64" s="154"/>
      <c r="C64" s="155"/>
      <c r="F64" s="158"/>
      <c r="G64" s="159"/>
      <c r="I64" s="155"/>
      <c r="J64" s="155"/>
      <c r="K64" s="155"/>
      <c r="L64" s="155"/>
      <c r="M64" s="155"/>
      <c r="N64" s="155"/>
      <c r="O64" s="158"/>
      <c r="P64" s="159"/>
      <c r="S64" s="155"/>
      <c r="T64" s="155"/>
      <c r="U64" s="155"/>
      <c r="V64" s="155"/>
      <c r="W64" s="155"/>
      <c r="X64" s="155"/>
    </row>
    <row r="65">
      <c r="A65" s="154"/>
      <c r="C65" s="155"/>
      <c r="F65" s="158"/>
      <c r="G65" s="159"/>
      <c r="I65" s="155"/>
      <c r="J65" s="155"/>
      <c r="K65" s="155"/>
      <c r="L65" s="155"/>
      <c r="M65" s="155"/>
      <c r="N65" s="155"/>
      <c r="O65" s="158"/>
      <c r="P65" s="159"/>
      <c r="S65" s="155"/>
      <c r="T65" s="155"/>
      <c r="U65" s="155"/>
      <c r="V65" s="155"/>
      <c r="W65" s="155"/>
      <c r="X65" s="155"/>
    </row>
    <row r="66">
      <c r="A66" s="154"/>
      <c r="C66" s="155"/>
      <c r="F66" s="158"/>
      <c r="G66" s="159"/>
      <c r="I66" s="155"/>
      <c r="J66" s="155"/>
      <c r="K66" s="155"/>
      <c r="L66" s="155"/>
      <c r="M66" s="155"/>
      <c r="N66" s="155"/>
      <c r="O66" s="158"/>
      <c r="P66" s="159"/>
      <c r="S66" s="155"/>
      <c r="T66" s="155"/>
      <c r="U66" s="155"/>
      <c r="V66" s="155"/>
      <c r="W66" s="155"/>
      <c r="X66" s="155"/>
    </row>
    <row r="67">
      <c r="A67" s="154"/>
      <c r="C67" s="155"/>
      <c r="F67" s="158"/>
      <c r="G67" s="159"/>
      <c r="I67" s="155"/>
      <c r="J67" s="155"/>
      <c r="K67" s="155"/>
      <c r="L67" s="155"/>
      <c r="M67" s="155"/>
      <c r="N67" s="155"/>
      <c r="O67" s="158"/>
      <c r="P67" s="159"/>
      <c r="S67" s="155"/>
      <c r="T67" s="155"/>
      <c r="U67" s="155"/>
      <c r="V67" s="155"/>
      <c r="W67" s="155"/>
      <c r="X67" s="155"/>
    </row>
    <row r="68">
      <c r="A68" s="154"/>
      <c r="C68" s="155"/>
      <c r="F68" s="158"/>
      <c r="G68" s="159"/>
      <c r="I68" s="155"/>
      <c r="J68" s="155"/>
      <c r="K68" s="155"/>
      <c r="L68" s="155"/>
      <c r="M68" s="155"/>
      <c r="N68" s="155"/>
      <c r="O68" s="158"/>
      <c r="P68" s="159"/>
      <c r="S68" s="155"/>
      <c r="T68" s="155"/>
      <c r="U68" s="155"/>
      <c r="V68" s="155"/>
      <c r="W68" s="155"/>
      <c r="X68" s="155"/>
    </row>
    <row r="69">
      <c r="A69" s="154"/>
      <c r="C69" s="155"/>
      <c r="F69" s="158"/>
      <c r="G69" s="159"/>
      <c r="I69" s="155"/>
      <c r="J69" s="155"/>
      <c r="K69" s="155"/>
      <c r="L69" s="155"/>
      <c r="M69" s="155"/>
      <c r="N69" s="155"/>
      <c r="O69" s="158"/>
      <c r="P69" s="159"/>
      <c r="S69" s="155"/>
      <c r="T69" s="155"/>
      <c r="U69" s="155"/>
      <c r="V69" s="155"/>
      <c r="W69" s="155"/>
      <c r="X69" s="155"/>
    </row>
    <row r="70">
      <c r="A70" s="154"/>
      <c r="C70" s="155"/>
      <c r="F70" s="158"/>
      <c r="G70" s="159"/>
      <c r="I70" s="155"/>
      <c r="J70" s="155"/>
      <c r="K70" s="155"/>
      <c r="L70" s="155"/>
      <c r="M70" s="155"/>
      <c r="N70" s="155"/>
      <c r="O70" s="158"/>
      <c r="P70" s="159"/>
      <c r="S70" s="155"/>
      <c r="T70" s="155"/>
      <c r="U70" s="155"/>
      <c r="V70" s="155"/>
      <c r="W70" s="155"/>
      <c r="X70" s="155"/>
    </row>
    <row r="71">
      <c r="A71" s="154"/>
      <c r="C71" s="155"/>
      <c r="F71" s="158"/>
      <c r="G71" s="159"/>
      <c r="I71" s="155"/>
      <c r="J71" s="155"/>
      <c r="K71" s="155"/>
      <c r="L71" s="155"/>
      <c r="M71" s="155"/>
      <c r="N71" s="155"/>
      <c r="O71" s="158"/>
      <c r="P71" s="159"/>
      <c r="S71" s="155"/>
      <c r="T71" s="155"/>
      <c r="U71" s="155"/>
      <c r="V71" s="155"/>
      <c r="W71" s="155"/>
      <c r="X71" s="155"/>
    </row>
    <row r="72">
      <c r="A72" s="154"/>
      <c r="C72" s="155"/>
      <c r="F72" s="158"/>
      <c r="G72" s="159"/>
      <c r="I72" s="155"/>
      <c r="J72" s="155"/>
      <c r="K72" s="155"/>
      <c r="L72" s="155"/>
      <c r="M72" s="155"/>
      <c r="N72" s="155"/>
      <c r="O72" s="158"/>
      <c r="P72" s="159"/>
      <c r="S72" s="155"/>
      <c r="T72" s="155"/>
      <c r="U72" s="155"/>
      <c r="V72" s="155"/>
      <c r="W72" s="155"/>
      <c r="X72" s="155"/>
    </row>
    <row r="73">
      <c r="A73" s="154"/>
      <c r="C73" s="155"/>
      <c r="F73" s="158"/>
      <c r="G73" s="159"/>
      <c r="I73" s="155"/>
      <c r="J73" s="155"/>
      <c r="K73" s="155"/>
      <c r="L73" s="155"/>
      <c r="M73" s="155"/>
      <c r="N73" s="155"/>
      <c r="O73" s="158"/>
      <c r="P73" s="159"/>
      <c r="S73" s="155"/>
      <c r="T73" s="155"/>
      <c r="U73" s="155"/>
      <c r="V73" s="155"/>
      <c r="W73" s="155"/>
      <c r="X73" s="155"/>
    </row>
    <row r="74">
      <c r="A74" s="154"/>
      <c r="C74" s="155"/>
      <c r="F74" s="158"/>
      <c r="G74" s="159"/>
      <c r="I74" s="155"/>
      <c r="J74" s="155"/>
      <c r="K74" s="155"/>
      <c r="L74" s="155"/>
      <c r="M74" s="155"/>
      <c r="N74" s="155"/>
      <c r="O74" s="158"/>
      <c r="P74" s="159"/>
      <c r="S74" s="155"/>
      <c r="T74" s="155"/>
      <c r="U74" s="155"/>
      <c r="V74" s="155"/>
      <c r="W74" s="155"/>
      <c r="X74" s="155"/>
    </row>
    <row r="75">
      <c r="A75" s="154"/>
      <c r="C75" s="155"/>
      <c r="F75" s="158"/>
      <c r="G75" s="159"/>
      <c r="I75" s="155"/>
      <c r="J75" s="155"/>
      <c r="K75" s="155"/>
      <c r="L75" s="155"/>
      <c r="M75" s="155"/>
      <c r="N75" s="155"/>
      <c r="O75" s="158"/>
      <c r="P75" s="159"/>
      <c r="S75" s="155"/>
      <c r="T75" s="155"/>
      <c r="U75" s="155"/>
      <c r="V75" s="155"/>
      <c r="W75" s="155"/>
      <c r="X75" s="155"/>
    </row>
    <row r="76">
      <c r="A76" s="154"/>
      <c r="C76" s="155"/>
      <c r="F76" s="158"/>
      <c r="G76" s="159"/>
      <c r="I76" s="155"/>
      <c r="J76" s="155"/>
      <c r="K76" s="155"/>
      <c r="L76" s="155"/>
      <c r="M76" s="155"/>
      <c r="N76" s="155"/>
      <c r="O76" s="158"/>
      <c r="P76" s="159"/>
      <c r="S76" s="155"/>
      <c r="T76" s="155"/>
      <c r="U76" s="155"/>
      <c r="V76" s="155"/>
      <c r="W76" s="155"/>
      <c r="X76" s="155"/>
    </row>
    <row r="77">
      <c r="A77" s="154"/>
      <c r="C77" s="155"/>
      <c r="D77" s="157"/>
      <c r="F77" s="158"/>
      <c r="G77" s="159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</row>
    <row r="78">
      <c r="A78" s="154"/>
      <c r="C78" s="155"/>
      <c r="D78" s="160"/>
      <c r="F78" s="161"/>
      <c r="G78" s="162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V78" s="158"/>
      <c r="W78" s="159"/>
      <c r="X78" s="155"/>
      <c r="Y78" s="155"/>
      <c r="Z78" s="155"/>
      <c r="AA78" s="155"/>
      <c r="AB78" s="155"/>
      <c r="AC78" s="155"/>
    </row>
    <row r="79">
      <c r="A79" s="154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</row>
    <row r="80">
      <c r="A80" s="154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</row>
    <row r="81">
      <c r="A81" s="154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</row>
    <row r="82">
      <c r="A82" s="154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</row>
    <row r="83">
      <c r="A83" s="154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</row>
    <row r="84">
      <c r="A84" s="154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</row>
    <row r="85">
      <c r="A85" s="154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</row>
    <row r="86">
      <c r="A86" s="154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</row>
    <row r="87">
      <c r="A87" s="154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</row>
    <row r="88">
      <c r="A88" s="154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</row>
    <row r="89">
      <c r="A89" s="154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</row>
    <row r="90">
      <c r="A90" s="154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</row>
    <row r="91">
      <c r="A91" s="154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</row>
    <row r="92">
      <c r="A92" s="154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</row>
    <row r="93">
      <c r="A93" s="154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</row>
    <row r="94">
      <c r="A94" s="154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</row>
    <row r="95">
      <c r="A95" s="154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</row>
    <row r="96">
      <c r="A96" s="154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</row>
    <row r="97">
      <c r="A97" s="154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</row>
    <row r="98">
      <c r="A98" s="154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</row>
    <row r="99">
      <c r="A99" s="154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</row>
    <row r="100">
      <c r="A100" s="154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</row>
    <row r="101">
      <c r="A101" s="154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</row>
    <row r="102">
      <c r="A102" s="154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  <c r="AC102" s="155"/>
    </row>
    <row r="103">
      <c r="A103" s="154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</row>
    <row r="104">
      <c r="A104" s="154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</row>
    <row r="105">
      <c r="A105" s="154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</row>
    <row r="106">
      <c r="A106" s="154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</row>
    <row r="107">
      <c r="A107" s="154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  <c r="AC107" s="155"/>
    </row>
    <row r="108">
      <c r="A108" s="154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</row>
    <row r="109">
      <c r="A109" s="154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</row>
    <row r="110">
      <c r="A110" s="154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</row>
    <row r="111">
      <c r="A111" s="154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</row>
    <row r="112">
      <c r="A112" s="154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</row>
    <row r="113">
      <c r="A113" s="154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</row>
    <row r="114">
      <c r="A114" s="154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</row>
    <row r="115">
      <c r="A115" s="154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</row>
    <row r="116">
      <c r="A116" s="154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</row>
    <row r="117">
      <c r="A117" s="154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</row>
    <row r="118">
      <c r="A118" s="154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</row>
    <row r="119">
      <c r="A119" s="154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</row>
    <row r="120">
      <c r="A120" s="154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</row>
    <row r="121">
      <c r="A121" s="154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</row>
    <row r="122">
      <c r="A122" s="154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</row>
    <row r="123">
      <c r="A123" s="154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</row>
    <row r="124">
      <c r="A124" s="154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</row>
    <row r="125">
      <c r="A125" s="154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</row>
    <row r="126">
      <c r="A126" s="154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</row>
    <row r="127">
      <c r="A127" s="154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</row>
    <row r="128">
      <c r="A128" s="154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</row>
    <row r="129">
      <c r="A129" s="154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</row>
    <row r="130">
      <c r="A130" s="154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</row>
    <row r="131">
      <c r="A131" s="154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</row>
    <row r="132">
      <c r="A132" s="154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</row>
    <row r="133">
      <c r="A133" s="154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</row>
    <row r="134">
      <c r="A134" s="154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</row>
    <row r="135">
      <c r="A135" s="154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</row>
    <row r="136">
      <c r="A136" s="154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</row>
    <row r="137">
      <c r="A137" s="154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</row>
    <row r="138">
      <c r="A138" s="154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</row>
    <row r="139">
      <c r="A139" s="154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</row>
    <row r="140">
      <c r="A140" s="154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</row>
    <row r="141">
      <c r="A141" s="154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</row>
    <row r="142">
      <c r="A142" s="154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</row>
    <row r="143">
      <c r="A143" s="154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</row>
    <row r="144">
      <c r="A144" s="154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</row>
    <row r="145">
      <c r="A145" s="154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</row>
    <row r="146">
      <c r="A146" s="154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</row>
    <row r="147">
      <c r="A147" s="154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</row>
    <row r="148">
      <c r="A148" s="154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</row>
    <row r="149">
      <c r="A149" s="154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</row>
    <row r="150">
      <c r="A150" s="154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</row>
    <row r="151">
      <c r="A151" s="154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</row>
    <row r="152">
      <c r="A152" s="154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</row>
    <row r="153">
      <c r="A153" s="154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</row>
    <row r="154">
      <c r="A154" s="154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</row>
    <row r="155">
      <c r="A155" s="154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</row>
    <row r="156">
      <c r="A156" s="154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</row>
    <row r="157">
      <c r="A157" s="154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</row>
    <row r="158">
      <c r="A158" s="154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</row>
    <row r="159">
      <c r="A159" s="154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</row>
    <row r="160">
      <c r="A160" s="154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</row>
    <row r="161">
      <c r="A161" s="154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</row>
    <row r="162">
      <c r="A162" s="154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</row>
    <row r="163">
      <c r="A163" s="154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</row>
    <row r="164">
      <c r="A164" s="154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</row>
    <row r="165">
      <c r="A165" s="154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</row>
    <row r="166">
      <c r="A166" s="154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</row>
    <row r="167">
      <c r="A167" s="154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</row>
    <row r="168">
      <c r="A168" s="154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</row>
    <row r="169">
      <c r="A169" s="154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</row>
    <row r="170">
      <c r="A170" s="154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</row>
    <row r="171">
      <c r="A171" s="154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</row>
    <row r="172">
      <c r="A172" s="154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</row>
    <row r="173">
      <c r="A173" s="154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</row>
    <row r="174">
      <c r="A174" s="154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</row>
    <row r="175">
      <c r="A175" s="154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</row>
    <row r="176">
      <c r="A176" s="154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</row>
    <row r="177">
      <c r="A177" s="154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</row>
    <row r="178">
      <c r="A178" s="154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</row>
    <row r="179">
      <c r="A179" s="154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</row>
    <row r="180">
      <c r="A180" s="154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</row>
    <row r="181">
      <c r="A181" s="154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</row>
    <row r="182">
      <c r="A182" s="154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</row>
    <row r="183">
      <c r="A183" s="154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</row>
    <row r="184">
      <c r="A184" s="154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</row>
    <row r="185">
      <c r="A185" s="154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</row>
    <row r="186">
      <c r="A186" s="154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</row>
    <row r="187">
      <c r="A187" s="154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</row>
    <row r="188">
      <c r="A188" s="154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</row>
    <row r="189">
      <c r="A189" s="154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</row>
    <row r="190">
      <c r="A190" s="154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</row>
    <row r="191">
      <c r="A191" s="154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</row>
    <row r="192">
      <c r="A192" s="154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</row>
    <row r="193">
      <c r="A193" s="154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</row>
    <row r="194">
      <c r="A194" s="154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</row>
    <row r="195">
      <c r="A195" s="154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</row>
    <row r="196">
      <c r="A196" s="154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</row>
    <row r="197">
      <c r="A197" s="154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</row>
    <row r="198">
      <c r="A198" s="154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</row>
    <row r="199">
      <c r="A199" s="154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</row>
    <row r="200">
      <c r="A200" s="154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</row>
    <row r="201">
      <c r="A201" s="154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</row>
    <row r="202">
      <c r="A202" s="154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</row>
    <row r="203">
      <c r="A203" s="154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</row>
    <row r="204">
      <c r="A204" s="154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</row>
    <row r="205">
      <c r="A205" s="154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</row>
    <row r="206">
      <c r="A206" s="154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</row>
    <row r="207">
      <c r="A207" s="154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</row>
    <row r="208">
      <c r="A208" s="154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</row>
    <row r="209">
      <c r="A209" s="154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</row>
    <row r="210">
      <c r="A210" s="154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</row>
    <row r="211">
      <c r="A211" s="154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</row>
    <row r="212">
      <c r="A212" s="154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</row>
    <row r="213">
      <c r="A213" s="154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</row>
    <row r="214">
      <c r="A214" s="154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</row>
    <row r="215">
      <c r="A215" s="154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</row>
    <row r="216">
      <c r="A216" s="154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</row>
    <row r="217">
      <c r="A217" s="154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</row>
    <row r="218">
      <c r="A218" s="154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</row>
    <row r="219">
      <c r="A219" s="154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</row>
    <row r="220">
      <c r="A220" s="154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</row>
    <row r="221">
      <c r="A221" s="154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</row>
    <row r="222">
      <c r="A222" s="154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</row>
    <row r="223">
      <c r="A223" s="154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</row>
    <row r="224">
      <c r="A224" s="154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</row>
    <row r="225">
      <c r="A225" s="154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</row>
    <row r="226">
      <c r="A226" s="154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</row>
    <row r="227">
      <c r="A227" s="154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</row>
    <row r="228">
      <c r="A228" s="154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</row>
    <row r="229">
      <c r="A229" s="154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</row>
    <row r="230">
      <c r="A230" s="154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</row>
    <row r="231">
      <c r="A231" s="154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</row>
    <row r="232">
      <c r="A232" s="154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</row>
    <row r="233">
      <c r="A233" s="154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</row>
    <row r="234">
      <c r="A234" s="154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</row>
    <row r="235">
      <c r="A235" s="154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</row>
    <row r="236">
      <c r="A236" s="154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</row>
    <row r="237">
      <c r="A237" s="154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</row>
    <row r="238">
      <c r="A238" s="154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</row>
    <row r="239">
      <c r="A239" s="154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</row>
    <row r="240">
      <c r="A240" s="154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</row>
    <row r="241">
      <c r="A241" s="154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</row>
    <row r="242">
      <c r="A242" s="154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</row>
    <row r="243">
      <c r="A243" s="154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</row>
    <row r="244">
      <c r="A244" s="154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</row>
    <row r="245">
      <c r="A245" s="154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</row>
    <row r="246">
      <c r="A246" s="154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</row>
    <row r="247">
      <c r="A247" s="154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</row>
    <row r="248">
      <c r="A248" s="154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</row>
    <row r="249">
      <c r="A249" s="154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</row>
    <row r="250">
      <c r="A250" s="154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</row>
    <row r="251">
      <c r="A251" s="154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</row>
    <row r="252">
      <c r="A252" s="154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</row>
    <row r="253">
      <c r="A253" s="154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</row>
    <row r="254">
      <c r="A254" s="154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</row>
    <row r="255">
      <c r="A255" s="154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</row>
    <row r="256">
      <c r="A256" s="154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</row>
    <row r="257">
      <c r="A257" s="154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</row>
    <row r="258">
      <c r="A258" s="154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</row>
    <row r="259">
      <c r="A259" s="154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</row>
    <row r="260">
      <c r="A260" s="154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</row>
    <row r="261">
      <c r="A261" s="154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</row>
    <row r="262">
      <c r="A262" s="154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</row>
    <row r="263">
      <c r="A263" s="154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</row>
    <row r="264">
      <c r="A264" s="154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</row>
    <row r="265">
      <c r="A265" s="154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</row>
    <row r="266">
      <c r="A266" s="154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</row>
    <row r="267">
      <c r="A267" s="154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</row>
    <row r="268">
      <c r="A268" s="154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</row>
    <row r="269">
      <c r="A269" s="154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</row>
    <row r="270">
      <c r="A270" s="154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</row>
    <row r="271">
      <c r="A271" s="154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</row>
    <row r="272">
      <c r="A272" s="154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</row>
    <row r="273">
      <c r="A273" s="154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</row>
    <row r="274">
      <c r="A274" s="154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</row>
    <row r="275">
      <c r="A275" s="154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</row>
    <row r="276">
      <c r="A276" s="154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</row>
    <row r="277">
      <c r="A277" s="154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</row>
    <row r="278">
      <c r="A278" s="154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</row>
    <row r="279">
      <c r="A279" s="154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</row>
    <row r="280">
      <c r="A280" s="154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</row>
    <row r="281">
      <c r="A281" s="154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</row>
    <row r="282">
      <c r="A282" s="154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</row>
    <row r="283">
      <c r="A283" s="154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</row>
    <row r="284">
      <c r="A284" s="154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</row>
    <row r="285">
      <c r="A285" s="154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</row>
    <row r="286">
      <c r="A286" s="154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</row>
    <row r="287">
      <c r="A287" s="154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</row>
    <row r="288">
      <c r="A288" s="154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</row>
    <row r="289">
      <c r="A289" s="154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</row>
    <row r="290">
      <c r="A290" s="154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</row>
    <row r="291">
      <c r="A291" s="154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</row>
    <row r="292">
      <c r="A292" s="154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</row>
    <row r="293">
      <c r="A293" s="154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</row>
    <row r="294">
      <c r="A294" s="154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</row>
    <row r="295">
      <c r="A295" s="154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</row>
    <row r="296">
      <c r="A296" s="154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</row>
    <row r="297">
      <c r="A297" s="154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</row>
    <row r="298">
      <c r="A298" s="154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</row>
    <row r="299">
      <c r="A299" s="154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</row>
    <row r="300">
      <c r="A300" s="154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</row>
    <row r="301">
      <c r="A301" s="154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</row>
    <row r="302">
      <c r="A302" s="154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</row>
    <row r="303">
      <c r="A303" s="154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</row>
    <row r="304">
      <c r="A304" s="154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</row>
    <row r="305">
      <c r="A305" s="154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</row>
    <row r="306">
      <c r="A306" s="154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</row>
    <row r="307">
      <c r="A307" s="154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</row>
    <row r="308">
      <c r="A308" s="154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</row>
    <row r="309">
      <c r="A309" s="154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</row>
    <row r="310">
      <c r="A310" s="154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</row>
    <row r="311">
      <c r="A311" s="154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</row>
    <row r="312">
      <c r="A312" s="154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</row>
    <row r="313">
      <c r="A313" s="154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</row>
    <row r="314">
      <c r="A314" s="154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</row>
    <row r="315">
      <c r="A315" s="154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</row>
    <row r="316">
      <c r="A316" s="154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</row>
    <row r="317">
      <c r="A317" s="154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</row>
    <row r="318">
      <c r="A318" s="154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</row>
    <row r="319">
      <c r="A319" s="154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</row>
    <row r="320">
      <c r="A320" s="154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</row>
    <row r="321">
      <c r="A321" s="154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</row>
    <row r="322">
      <c r="A322" s="154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</row>
    <row r="323">
      <c r="A323" s="154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</row>
    <row r="324">
      <c r="A324" s="154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</row>
    <row r="325">
      <c r="A325" s="154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</row>
    <row r="326">
      <c r="A326" s="154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</row>
    <row r="327">
      <c r="A327" s="154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</row>
    <row r="328">
      <c r="A328" s="154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</row>
    <row r="329">
      <c r="A329" s="154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</row>
    <row r="330">
      <c r="A330" s="154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</row>
    <row r="331">
      <c r="A331" s="154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</row>
    <row r="332">
      <c r="A332" s="154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</row>
    <row r="333">
      <c r="A333" s="154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</row>
    <row r="334">
      <c r="A334" s="154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</row>
    <row r="335">
      <c r="A335" s="154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</row>
    <row r="336">
      <c r="A336" s="154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</row>
    <row r="337">
      <c r="A337" s="154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</row>
    <row r="338">
      <c r="A338" s="154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</row>
    <row r="339">
      <c r="A339" s="154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</row>
    <row r="340">
      <c r="A340" s="154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</row>
    <row r="341">
      <c r="A341" s="154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</row>
    <row r="342">
      <c r="A342" s="154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</row>
    <row r="343">
      <c r="A343" s="154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</row>
    <row r="344">
      <c r="A344" s="154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</row>
    <row r="345">
      <c r="A345" s="154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</row>
    <row r="346">
      <c r="A346" s="154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</row>
    <row r="347">
      <c r="A347" s="154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</row>
    <row r="348">
      <c r="A348" s="154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</row>
    <row r="349">
      <c r="A349" s="154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</row>
    <row r="350">
      <c r="A350" s="154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</row>
    <row r="351">
      <c r="A351" s="154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</row>
    <row r="352">
      <c r="A352" s="154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</row>
    <row r="353">
      <c r="A353" s="154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</row>
    <row r="354">
      <c r="A354" s="154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</row>
    <row r="355">
      <c r="A355" s="154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</row>
    <row r="356">
      <c r="A356" s="154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</row>
    <row r="357">
      <c r="A357" s="154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</row>
    <row r="358">
      <c r="A358" s="154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</row>
    <row r="359">
      <c r="A359" s="154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</row>
    <row r="360">
      <c r="A360" s="154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</row>
    <row r="361">
      <c r="A361" s="154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</row>
    <row r="362">
      <c r="A362" s="154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</row>
    <row r="363">
      <c r="A363" s="154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</row>
    <row r="364">
      <c r="A364" s="154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</row>
    <row r="365">
      <c r="A365" s="154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</row>
    <row r="366">
      <c r="A366" s="154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</row>
    <row r="367">
      <c r="A367" s="154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</row>
    <row r="368">
      <c r="A368" s="154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</row>
    <row r="369">
      <c r="A369" s="154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</row>
    <row r="370">
      <c r="A370" s="154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</row>
    <row r="371">
      <c r="A371" s="154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</row>
    <row r="372">
      <c r="A372" s="154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</row>
    <row r="373">
      <c r="A373" s="154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</row>
    <row r="374">
      <c r="A374" s="154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</row>
    <row r="375">
      <c r="A375" s="154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</row>
    <row r="376">
      <c r="A376" s="154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</row>
    <row r="377">
      <c r="A377" s="154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</row>
    <row r="378">
      <c r="A378" s="154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</row>
    <row r="379">
      <c r="A379" s="154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</row>
    <row r="380">
      <c r="A380" s="154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</row>
    <row r="381">
      <c r="A381" s="154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</row>
    <row r="382">
      <c r="A382" s="154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</row>
    <row r="383">
      <c r="A383" s="154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</row>
    <row r="384">
      <c r="A384" s="154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</row>
    <row r="385">
      <c r="A385" s="154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</row>
    <row r="386">
      <c r="A386" s="154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</row>
    <row r="387">
      <c r="A387" s="154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</row>
    <row r="388">
      <c r="A388" s="154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</row>
    <row r="389">
      <c r="A389" s="154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</row>
    <row r="390">
      <c r="A390" s="154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</row>
    <row r="391">
      <c r="A391" s="154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</row>
    <row r="392">
      <c r="A392" s="154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</row>
    <row r="393">
      <c r="A393" s="154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</row>
    <row r="394">
      <c r="A394" s="154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</row>
    <row r="395">
      <c r="A395" s="154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</row>
    <row r="396">
      <c r="A396" s="154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</row>
    <row r="397">
      <c r="A397" s="154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</row>
    <row r="398">
      <c r="A398" s="154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</row>
    <row r="399">
      <c r="A399" s="154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</row>
    <row r="400">
      <c r="A400" s="154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</row>
    <row r="401">
      <c r="A401" s="154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</row>
    <row r="402">
      <c r="A402" s="154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</row>
    <row r="403">
      <c r="A403" s="154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</row>
    <row r="404">
      <c r="A404" s="154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</row>
    <row r="405">
      <c r="A405" s="154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</row>
    <row r="406">
      <c r="A406" s="154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</row>
    <row r="407">
      <c r="A407" s="154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</row>
    <row r="408">
      <c r="A408" s="154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</row>
    <row r="409">
      <c r="A409" s="154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</row>
    <row r="410">
      <c r="A410" s="154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</row>
    <row r="411">
      <c r="A411" s="154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</row>
    <row r="412">
      <c r="A412" s="154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</row>
    <row r="413">
      <c r="A413" s="154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</row>
    <row r="414">
      <c r="A414" s="154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</row>
    <row r="415">
      <c r="A415" s="154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</row>
    <row r="416">
      <c r="A416" s="154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</row>
    <row r="417">
      <c r="A417" s="154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</row>
    <row r="418">
      <c r="A418" s="154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</row>
    <row r="419">
      <c r="A419" s="154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</row>
    <row r="420">
      <c r="A420" s="154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</row>
    <row r="421">
      <c r="A421" s="154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</row>
    <row r="422">
      <c r="A422" s="154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</row>
    <row r="423">
      <c r="A423" s="154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</row>
    <row r="424">
      <c r="A424" s="154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</row>
    <row r="425">
      <c r="A425" s="154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</row>
    <row r="426">
      <c r="A426" s="154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</row>
    <row r="427">
      <c r="A427" s="154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</row>
    <row r="428">
      <c r="A428" s="154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</row>
    <row r="429">
      <c r="A429" s="154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</row>
    <row r="430">
      <c r="A430" s="154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</row>
    <row r="431">
      <c r="A431" s="154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</row>
    <row r="432">
      <c r="A432" s="154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</row>
    <row r="433">
      <c r="A433" s="154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</row>
    <row r="434">
      <c r="A434" s="154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</row>
    <row r="435">
      <c r="A435" s="154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</row>
    <row r="436">
      <c r="A436" s="154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</row>
    <row r="437">
      <c r="A437" s="154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</row>
    <row r="438">
      <c r="A438" s="154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</row>
    <row r="439">
      <c r="A439" s="154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</row>
    <row r="440">
      <c r="A440" s="154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</row>
    <row r="441">
      <c r="A441" s="154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</row>
    <row r="442">
      <c r="A442" s="154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</row>
    <row r="443">
      <c r="A443" s="154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</row>
    <row r="444">
      <c r="A444" s="154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</row>
    <row r="445">
      <c r="A445" s="154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</row>
    <row r="446">
      <c r="A446" s="154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</row>
    <row r="447">
      <c r="A447" s="154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</row>
    <row r="448">
      <c r="A448" s="154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</row>
    <row r="449">
      <c r="A449" s="154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</row>
    <row r="450">
      <c r="A450" s="154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</row>
    <row r="451">
      <c r="A451" s="154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</row>
    <row r="452">
      <c r="A452" s="154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</row>
    <row r="453">
      <c r="A453" s="154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</row>
    <row r="454">
      <c r="A454" s="154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</row>
    <row r="455">
      <c r="A455" s="154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</row>
    <row r="456">
      <c r="A456" s="154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</row>
    <row r="457">
      <c r="A457" s="154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</row>
    <row r="458">
      <c r="A458" s="154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</row>
    <row r="459">
      <c r="A459" s="154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</row>
    <row r="460">
      <c r="A460" s="154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</row>
    <row r="461">
      <c r="A461" s="154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</row>
    <row r="462">
      <c r="A462" s="154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</row>
    <row r="463">
      <c r="A463" s="154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</row>
    <row r="464">
      <c r="A464" s="154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</row>
    <row r="465">
      <c r="A465" s="154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</row>
    <row r="466">
      <c r="A466" s="154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</row>
    <row r="467">
      <c r="A467" s="154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</row>
    <row r="468">
      <c r="A468" s="154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</row>
    <row r="469">
      <c r="A469" s="154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</row>
    <row r="470">
      <c r="A470" s="154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</row>
    <row r="471">
      <c r="A471" s="154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</row>
    <row r="472">
      <c r="A472" s="154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</row>
    <row r="473">
      <c r="A473" s="154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</row>
    <row r="474">
      <c r="A474" s="154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</row>
    <row r="475">
      <c r="A475" s="154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</row>
    <row r="476">
      <c r="A476" s="154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</row>
    <row r="477">
      <c r="A477" s="154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</row>
    <row r="478">
      <c r="A478" s="154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</row>
    <row r="479">
      <c r="A479" s="154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</row>
    <row r="480">
      <c r="A480" s="154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</row>
    <row r="481">
      <c r="A481" s="154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</row>
    <row r="482">
      <c r="A482" s="154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</row>
    <row r="483">
      <c r="A483" s="154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</row>
    <row r="484">
      <c r="A484" s="154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</row>
    <row r="485">
      <c r="A485" s="154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</row>
    <row r="486">
      <c r="A486" s="154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</row>
    <row r="487">
      <c r="A487" s="154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</row>
    <row r="488">
      <c r="A488" s="154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</row>
    <row r="489">
      <c r="A489" s="154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</row>
    <row r="490">
      <c r="A490" s="154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</row>
    <row r="491">
      <c r="A491" s="154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</row>
    <row r="492">
      <c r="A492" s="154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</row>
    <row r="493">
      <c r="A493" s="154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</row>
    <row r="494">
      <c r="A494" s="154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</row>
    <row r="495">
      <c r="A495" s="154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</row>
    <row r="496">
      <c r="A496" s="154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</row>
    <row r="497">
      <c r="A497" s="154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</row>
    <row r="498">
      <c r="A498" s="154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</row>
    <row r="499">
      <c r="A499" s="154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</row>
    <row r="500">
      <c r="A500" s="154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</row>
    <row r="501">
      <c r="A501" s="154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</row>
    <row r="502">
      <c r="A502" s="154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</row>
    <row r="503">
      <c r="A503" s="154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</row>
    <row r="504">
      <c r="A504" s="154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</row>
    <row r="505">
      <c r="A505" s="154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</row>
    <row r="506">
      <c r="A506" s="154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</row>
    <row r="507">
      <c r="A507" s="154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</row>
    <row r="508">
      <c r="A508" s="154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</row>
    <row r="509">
      <c r="A509" s="154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</row>
    <row r="510">
      <c r="A510" s="154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</row>
    <row r="511">
      <c r="A511" s="154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</row>
    <row r="512">
      <c r="A512" s="154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</row>
    <row r="513">
      <c r="A513" s="154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</row>
    <row r="514">
      <c r="A514" s="154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</row>
    <row r="515">
      <c r="A515" s="154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</row>
    <row r="516">
      <c r="A516" s="154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</row>
    <row r="517">
      <c r="A517" s="154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</row>
    <row r="518">
      <c r="A518" s="154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</row>
    <row r="519">
      <c r="A519" s="154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</row>
    <row r="520">
      <c r="A520" s="154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</row>
    <row r="521">
      <c r="A521" s="154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</row>
    <row r="522">
      <c r="A522" s="154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</row>
    <row r="523">
      <c r="A523" s="154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</row>
    <row r="524">
      <c r="A524" s="154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</row>
    <row r="525">
      <c r="A525" s="154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</row>
    <row r="526">
      <c r="A526" s="154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</row>
    <row r="527">
      <c r="A527" s="154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</row>
    <row r="528">
      <c r="A528" s="154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</row>
    <row r="529">
      <c r="A529" s="154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</row>
    <row r="530">
      <c r="A530" s="154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</row>
    <row r="531">
      <c r="A531" s="154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</row>
    <row r="532">
      <c r="A532" s="154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</row>
    <row r="533">
      <c r="A533" s="154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</row>
    <row r="534">
      <c r="A534" s="154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</row>
    <row r="535">
      <c r="A535" s="154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</row>
    <row r="536">
      <c r="A536" s="154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</row>
    <row r="537">
      <c r="A537" s="154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</row>
    <row r="538">
      <c r="A538" s="154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</row>
    <row r="539">
      <c r="A539" s="154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</row>
    <row r="540">
      <c r="A540" s="154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</row>
    <row r="541">
      <c r="A541" s="154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</row>
    <row r="542">
      <c r="A542" s="154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</row>
    <row r="543">
      <c r="A543" s="154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</row>
    <row r="544">
      <c r="A544" s="154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</row>
    <row r="545">
      <c r="A545" s="154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</row>
    <row r="546">
      <c r="A546" s="154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</row>
    <row r="547">
      <c r="A547" s="154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</row>
    <row r="548">
      <c r="A548" s="154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</row>
    <row r="549">
      <c r="A549" s="154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</row>
    <row r="550">
      <c r="A550" s="154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</row>
    <row r="551">
      <c r="A551" s="154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</row>
    <row r="552">
      <c r="A552" s="154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</row>
    <row r="553">
      <c r="A553" s="154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</row>
    <row r="554">
      <c r="A554" s="154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</row>
    <row r="555">
      <c r="A555" s="154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</row>
    <row r="556">
      <c r="A556" s="154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</row>
    <row r="557">
      <c r="A557" s="154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</row>
    <row r="558">
      <c r="A558" s="154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</row>
    <row r="559">
      <c r="A559" s="154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</row>
    <row r="560">
      <c r="A560" s="154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</row>
    <row r="561">
      <c r="A561" s="154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</row>
    <row r="562">
      <c r="A562" s="154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</row>
    <row r="563">
      <c r="A563" s="154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</row>
    <row r="564">
      <c r="A564" s="154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</row>
    <row r="565">
      <c r="A565" s="154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</row>
    <row r="566">
      <c r="A566" s="154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</row>
    <row r="567">
      <c r="A567" s="154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</row>
    <row r="568">
      <c r="A568" s="154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</row>
    <row r="569">
      <c r="A569" s="154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</row>
    <row r="570">
      <c r="A570" s="154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</row>
    <row r="571">
      <c r="A571" s="154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</row>
    <row r="572">
      <c r="A572" s="154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</row>
    <row r="573">
      <c r="A573" s="154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</row>
    <row r="574">
      <c r="A574" s="154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</row>
    <row r="575">
      <c r="A575" s="154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</row>
    <row r="576">
      <c r="A576" s="154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</row>
    <row r="577">
      <c r="A577" s="154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</row>
    <row r="578">
      <c r="A578" s="154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</row>
    <row r="579">
      <c r="A579" s="154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</row>
    <row r="580">
      <c r="A580" s="154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</row>
    <row r="581">
      <c r="A581" s="154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</row>
    <row r="582">
      <c r="A582" s="154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</row>
    <row r="583">
      <c r="A583" s="154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</row>
    <row r="584">
      <c r="A584" s="154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</row>
    <row r="585">
      <c r="A585" s="154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</row>
    <row r="586">
      <c r="A586" s="154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</row>
    <row r="587">
      <c r="A587" s="154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</row>
    <row r="588">
      <c r="A588" s="154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</row>
    <row r="589">
      <c r="A589" s="154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</row>
    <row r="590">
      <c r="A590" s="154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</row>
    <row r="591">
      <c r="A591" s="154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</row>
    <row r="592">
      <c r="A592" s="154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</row>
    <row r="593">
      <c r="A593" s="154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</row>
    <row r="594">
      <c r="A594" s="154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</row>
    <row r="595">
      <c r="A595" s="154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</row>
    <row r="596">
      <c r="A596" s="154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</row>
    <row r="597">
      <c r="A597" s="154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</row>
    <row r="598">
      <c r="A598" s="154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</row>
    <row r="599">
      <c r="A599" s="154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</row>
    <row r="600">
      <c r="A600" s="154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</row>
    <row r="601">
      <c r="A601" s="154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</row>
    <row r="602">
      <c r="A602" s="154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</row>
    <row r="603">
      <c r="A603" s="154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</row>
    <row r="604">
      <c r="A604" s="154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</row>
    <row r="605">
      <c r="A605" s="154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</row>
    <row r="606">
      <c r="A606" s="154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</row>
    <row r="607">
      <c r="A607" s="154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</row>
    <row r="608">
      <c r="A608" s="154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</row>
    <row r="609">
      <c r="A609" s="154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</row>
    <row r="610">
      <c r="A610" s="154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</row>
    <row r="611">
      <c r="A611" s="154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</row>
    <row r="612">
      <c r="A612" s="154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</row>
    <row r="613">
      <c r="A613" s="154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</row>
    <row r="614">
      <c r="A614" s="154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</row>
    <row r="615">
      <c r="A615" s="154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</row>
    <row r="616">
      <c r="A616" s="154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</row>
    <row r="617">
      <c r="A617" s="154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</row>
    <row r="618">
      <c r="A618" s="154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</row>
    <row r="619">
      <c r="A619" s="154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</row>
    <row r="620">
      <c r="A620" s="154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</row>
    <row r="621">
      <c r="A621" s="154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</row>
    <row r="622">
      <c r="A622" s="154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</row>
    <row r="623">
      <c r="A623" s="154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</row>
    <row r="624">
      <c r="A624" s="154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</row>
    <row r="625">
      <c r="A625" s="154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</row>
    <row r="626">
      <c r="A626" s="154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</row>
    <row r="627">
      <c r="A627" s="154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</row>
    <row r="628">
      <c r="A628" s="154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</row>
    <row r="629">
      <c r="A629" s="154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</row>
    <row r="630">
      <c r="A630" s="154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</row>
    <row r="631">
      <c r="A631" s="154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</row>
    <row r="632">
      <c r="A632" s="154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</row>
    <row r="633">
      <c r="A633" s="154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</row>
    <row r="634">
      <c r="A634" s="154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</row>
    <row r="635">
      <c r="A635" s="154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</row>
    <row r="636">
      <c r="A636" s="154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</row>
    <row r="637">
      <c r="A637" s="154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</row>
    <row r="638">
      <c r="A638" s="154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</row>
    <row r="639">
      <c r="A639" s="154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</row>
    <row r="640">
      <c r="A640" s="154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</row>
    <row r="641">
      <c r="A641" s="154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</row>
    <row r="642">
      <c r="A642" s="154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</row>
    <row r="643">
      <c r="A643" s="154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</row>
    <row r="644">
      <c r="A644" s="154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</row>
    <row r="645">
      <c r="A645" s="154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</row>
    <row r="646">
      <c r="A646" s="154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</row>
    <row r="647">
      <c r="A647" s="154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</row>
    <row r="648">
      <c r="A648" s="154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</row>
    <row r="649">
      <c r="A649" s="154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</row>
    <row r="650">
      <c r="A650" s="154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</row>
    <row r="651">
      <c r="A651" s="154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</row>
    <row r="652">
      <c r="A652" s="154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</row>
    <row r="653">
      <c r="A653" s="154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</row>
    <row r="654">
      <c r="A654" s="154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</row>
    <row r="655">
      <c r="A655" s="154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</row>
    <row r="656">
      <c r="A656" s="154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</row>
    <row r="657">
      <c r="A657" s="154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</row>
    <row r="658">
      <c r="A658" s="154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</row>
    <row r="659">
      <c r="A659" s="154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</row>
    <row r="660">
      <c r="A660" s="154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</row>
    <row r="661">
      <c r="A661" s="154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</row>
    <row r="662">
      <c r="A662" s="154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</row>
    <row r="663">
      <c r="A663" s="154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</row>
    <row r="664">
      <c r="A664" s="154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</row>
    <row r="665">
      <c r="A665" s="154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</row>
    <row r="666">
      <c r="A666" s="154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</row>
    <row r="667">
      <c r="A667" s="154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</row>
    <row r="668">
      <c r="A668" s="154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</row>
    <row r="669">
      <c r="A669" s="154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</row>
    <row r="670">
      <c r="A670" s="154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</row>
    <row r="671">
      <c r="A671" s="154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</row>
    <row r="672">
      <c r="A672" s="154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</row>
    <row r="673">
      <c r="A673" s="154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</row>
    <row r="674">
      <c r="A674" s="154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</row>
    <row r="675">
      <c r="A675" s="154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</row>
    <row r="676">
      <c r="A676" s="154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</row>
    <row r="677">
      <c r="A677" s="154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</row>
    <row r="678">
      <c r="A678" s="154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</row>
    <row r="679">
      <c r="A679" s="154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</row>
    <row r="680">
      <c r="A680" s="154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</row>
    <row r="681">
      <c r="A681" s="154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</row>
    <row r="682">
      <c r="A682" s="154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</row>
    <row r="683">
      <c r="A683" s="154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</row>
    <row r="684">
      <c r="A684" s="154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</row>
    <row r="685">
      <c r="A685" s="154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</row>
    <row r="686">
      <c r="A686" s="154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</row>
    <row r="687">
      <c r="A687" s="154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</row>
    <row r="688">
      <c r="A688" s="154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</row>
    <row r="689">
      <c r="A689" s="154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</row>
    <row r="690">
      <c r="A690" s="154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</row>
    <row r="691">
      <c r="A691" s="154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</row>
    <row r="692">
      <c r="A692" s="154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</row>
    <row r="693">
      <c r="A693" s="154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</row>
    <row r="694">
      <c r="A694" s="154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</row>
    <row r="695">
      <c r="A695" s="154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</row>
    <row r="696">
      <c r="A696" s="154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</row>
    <row r="697">
      <c r="A697" s="154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</row>
    <row r="698">
      <c r="A698" s="154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</row>
    <row r="699">
      <c r="A699" s="154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</row>
    <row r="700">
      <c r="A700" s="154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</row>
    <row r="701">
      <c r="A701" s="154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</row>
    <row r="702">
      <c r="A702" s="154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</row>
    <row r="703">
      <c r="A703" s="154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</row>
    <row r="704">
      <c r="A704" s="154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</row>
    <row r="705">
      <c r="A705" s="154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</row>
    <row r="706">
      <c r="A706" s="154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</row>
    <row r="707">
      <c r="A707" s="154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</row>
    <row r="708">
      <c r="A708" s="154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</row>
    <row r="709">
      <c r="A709" s="154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</row>
    <row r="710">
      <c r="A710" s="154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</row>
    <row r="711">
      <c r="A711" s="154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</row>
    <row r="712">
      <c r="A712" s="154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</row>
    <row r="713">
      <c r="A713" s="154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</row>
    <row r="714">
      <c r="A714" s="154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</row>
    <row r="715">
      <c r="A715" s="154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</row>
    <row r="716">
      <c r="A716" s="154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</row>
    <row r="717">
      <c r="A717" s="154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</row>
    <row r="718">
      <c r="A718" s="154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</row>
    <row r="719">
      <c r="A719" s="154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</row>
    <row r="720">
      <c r="A720" s="154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</row>
    <row r="721">
      <c r="A721" s="154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</row>
    <row r="722">
      <c r="A722" s="154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</row>
    <row r="723">
      <c r="A723" s="154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</row>
    <row r="724">
      <c r="A724" s="154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</row>
    <row r="725">
      <c r="A725" s="154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</row>
    <row r="726">
      <c r="A726" s="154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</row>
    <row r="727">
      <c r="A727" s="154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</row>
    <row r="728">
      <c r="A728" s="154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</row>
    <row r="729">
      <c r="A729" s="154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</row>
    <row r="730">
      <c r="A730" s="154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</row>
    <row r="731">
      <c r="A731" s="154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</row>
    <row r="732">
      <c r="A732" s="154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</row>
    <row r="733">
      <c r="A733" s="154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</row>
    <row r="734">
      <c r="A734" s="154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</row>
    <row r="735">
      <c r="A735" s="154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</row>
    <row r="736">
      <c r="A736" s="154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</row>
    <row r="737">
      <c r="A737" s="154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</row>
    <row r="738">
      <c r="A738" s="154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</row>
    <row r="739">
      <c r="A739" s="154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</row>
    <row r="740">
      <c r="A740" s="154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</row>
    <row r="741">
      <c r="A741" s="154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</row>
    <row r="742">
      <c r="A742" s="154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</row>
    <row r="743">
      <c r="A743" s="154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</row>
    <row r="744">
      <c r="A744" s="154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</row>
    <row r="745">
      <c r="A745" s="154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</row>
    <row r="746">
      <c r="A746" s="154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</row>
    <row r="747">
      <c r="A747" s="154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</row>
    <row r="748">
      <c r="A748" s="154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</row>
    <row r="749">
      <c r="A749" s="154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</row>
    <row r="750">
      <c r="A750" s="154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</row>
    <row r="751">
      <c r="A751" s="154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</row>
    <row r="752">
      <c r="A752" s="154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</row>
    <row r="753">
      <c r="A753" s="154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</row>
    <row r="754">
      <c r="A754" s="154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</row>
    <row r="755">
      <c r="A755" s="154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</row>
    <row r="756">
      <c r="A756" s="154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</row>
    <row r="757">
      <c r="A757" s="154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</row>
    <row r="758">
      <c r="A758" s="154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</row>
    <row r="759">
      <c r="A759" s="154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</row>
    <row r="760">
      <c r="A760" s="154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</row>
    <row r="761">
      <c r="A761" s="154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</row>
    <row r="762">
      <c r="A762" s="154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</row>
    <row r="763">
      <c r="A763" s="154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</row>
    <row r="764">
      <c r="A764" s="154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</row>
    <row r="765">
      <c r="A765" s="154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</row>
    <row r="766">
      <c r="A766" s="154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</row>
    <row r="767">
      <c r="A767" s="154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</row>
    <row r="768">
      <c r="A768" s="154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</row>
    <row r="769">
      <c r="A769" s="154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</row>
    <row r="770">
      <c r="A770" s="154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</row>
    <row r="771">
      <c r="A771" s="154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</row>
    <row r="772">
      <c r="A772" s="154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</row>
    <row r="773">
      <c r="A773" s="154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</row>
    <row r="774">
      <c r="A774" s="154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</row>
    <row r="775">
      <c r="A775" s="154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</row>
    <row r="776">
      <c r="A776" s="154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</row>
    <row r="777">
      <c r="A777" s="154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</row>
    <row r="778">
      <c r="A778" s="154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</row>
    <row r="779">
      <c r="A779" s="154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</row>
    <row r="780">
      <c r="A780" s="154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</row>
    <row r="781">
      <c r="A781" s="154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</row>
    <row r="782">
      <c r="A782" s="154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</row>
    <row r="783">
      <c r="A783" s="154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</row>
    <row r="784">
      <c r="A784" s="154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</row>
    <row r="785">
      <c r="A785" s="154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</row>
    <row r="786">
      <c r="A786" s="154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</row>
    <row r="787">
      <c r="A787" s="154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</row>
    <row r="788">
      <c r="A788" s="154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</row>
    <row r="789">
      <c r="A789" s="154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</row>
    <row r="790">
      <c r="A790" s="154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</row>
    <row r="791">
      <c r="A791" s="154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</row>
    <row r="792">
      <c r="A792" s="154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</row>
    <row r="793">
      <c r="A793" s="154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</row>
    <row r="794">
      <c r="A794" s="154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</row>
    <row r="795">
      <c r="A795" s="154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</row>
    <row r="796">
      <c r="A796" s="154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</row>
    <row r="797">
      <c r="A797" s="154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</row>
    <row r="798">
      <c r="A798" s="154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</row>
    <row r="799">
      <c r="A799" s="154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</row>
    <row r="800">
      <c r="A800" s="154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</row>
    <row r="801">
      <c r="A801" s="154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</row>
    <row r="802">
      <c r="A802" s="154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</row>
    <row r="803">
      <c r="A803" s="154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</row>
    <row r="804">
      <c r="A804" s="154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</row>
    <row r="805">
      <c r="A805" s="154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</row>
    <row r="806">
      <c r="A806" s="154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</row>
    <row r="807">
      <c r="A807" s="154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</row>
    <row r="808">
      <c r="A808" s="154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</row>
    <row r="809">
      <c r="A809" s="154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</row>
    <row r="810">
      <c r="A810" s="154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</row>
    <row r="811">
      <c r="A811" s="154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</row>
    <row r="812">
      <c r="A812" s="154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</row>
    <row r="813">
      <c r="A813" s="154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</row>
    <row r="814">
      <c r="A814" s="154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</row>
    <row r="815">
      <c r="A815" s="154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</row>
    <row r="816">
      <c r="A816" s="154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</row>
    <row r="817">
      <c r="A817" s="154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</row>
    <row r="818">
      <c r="A818" s="154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</row>
    <row r="819">
      <c r="A819" s="154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</row>
    <row r="820">
      <c r="A820" s="154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</row>
    <row r="821">
      <c r="A821" s="154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</row>
    <row r="822">
      <c r="A822" s="154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</row>
    <row r="823">
      <c r="A823" s="154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</row>
    <row r="824">
      <c r="A824" s="154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</row>
    <row r="825">
      <c r="A825" s="154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</row>
    <row r="826">
      <c r="A826" s="154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</row>
    <row r="827">
      <c r="A827" s="154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</row>
    <row r="828">
      <c r="A828" s="154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</row>
    <row r="829">
      <c r="A829" s="154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</row>
    <row r="830">
      <c r="A830" s="154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</row>
    <row r="831">
      <c r="A831" s="154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</row>
    <row r="832">
      <c r="A832" s="154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</row>
    <row r="833">
      <c r="A833" s="154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</row>
    <row r="834">
      <c r="A834" s="154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</row>
    <row r="835">
      <c r="A835" s="154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</row>
    <row r="836">
      <c r="A836" s="154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</row>
    <row r="837">
      <c r="A837" s="154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</row>
    <row r="838">
      <c r="A838" s="154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</row>
    <row r="839">
      <c r="A839" s="154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</row>
    <row r="840">
      <c r="A840" s="154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</row>
    <row r="841">
      <c r="A841" s="154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</row>
    <row r="842">
      <c r="A842" s="154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</row>
    <row r="843">
      <c r="A843" s="154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</row>
    <row r="844">
      <c r="A844" s="154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</row>
    <row r="845">
      <c r="A845" s="154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</row>
    <row r="846">
      <c r="A846" s="154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</row>
    <row r="847">
      <c r="A847" s="154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</row>
    <row r="848">
      <c r="A848" s="154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</row>
    <row r="849">
      <c r="A849" s="154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</row>
    <row r="850">
      <c r="A850" s="154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</row>
    <row r="851">
      <c r="A851" s="154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</row>
    <row r="852">
      <c r="A852" s="154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</row>
    <row r="853">
      <c r="A853" s="154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</row>
    <row r="854">
      <c r="A854" s="154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</row>
    <row r="855">
      <c r="A855" s="154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</row>
    <row r="856">
      <c r="A856" s="154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</row>
    <row r="857">
      <c r="A857" s="154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</row>
    <row r="858">
      <c r="A858" s="154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</row>
    <row r="859">
      <c r="A859" s="154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</row>
    <row r="860">
      <c r="A860" s="154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</row>
    <row r="861">
      <c r="A861" s="154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</row>
    <row r="862">
      <c r="A862" s="154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</row>
    <row r="863">
      <c r="A863" s="154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</row>
    <row r="864">
      <c r="A864" s="154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</row>
    <row r="865">
      <c r="A865" s="154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</row>
    <row r="866">
      <c r="A866" s="154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</row>
    <row r="867">
      <c r="A867" s="154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</row>
    <row r="868">
      <c r="A868" s="154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</row>
    <row r="869">
      <c r="A869" s="154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</row>
    <row r="870">
      <c r="A870" s="154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</row>
    <row r="871">
      <c r="A871" s="154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</row>
    <row r="872">
      <c r="A872" s="154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</row>
    <row r="873">
      <c r="A873" s="154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</row>
    <row r="874">
      <c r="A874" s="154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</row>
    <row r="875">
      <c r="A875" s="154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</row>
    <row r="876">
      <c r="A876" s="154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</row>
    <row r="877">
      <c r="A877" s="154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</row>
    <row r="878">
      <c r="A878" s="154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</row>
    <row r="879">
      <c r="A879" s="154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</row>
    <row r="880">
      <c r="A880" s="154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</row>
    <row r="881">
      <c r="A881" s="154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</row>
    <row r="882">
      <c r="A882" s="154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</row>
    <row r="883">
      <c r="A883" s="154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</row>
    <row r="884">
      <c r="A884" s="154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</row>
    <row r="885">
      <c r="A885" s="154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</row>
    <row r="886">
      <c r="A886" s="154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</row>
    <row r="887">
      <c r="A887" s="154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</row>
    <row r="888">
      <c r="A888" s="154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</row>
    <row r="889">
      <c r="A889" s="154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</row>
    <row r="890">
      <c r="A890" s="154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</row>
    <row r="891">
      <c r="A891" s="154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</row>
    <row r="892">
      <c r="A892" s="154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</row>
    <row r="893">
      <c r="A893" s="154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</row>
    <row r="894">
      <c r="A894" s="154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</row>
    <row r="895">
      <c r="A895" s="154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</row>
    <row r="896">
      <c r="A896" s="154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</row>
    <row r="897">
      <c r="A897" s="154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</row>
    <row r="898">
      <c r="A898" s="154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</row>
    <row r="899">
      <c r="A899" s="154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</row>
    <row r="900">
      <c r="A900" s="154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</row>
    <row r="901">
      <c r="A901" s="154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</row>
    <row r="902">
      <c r="A902" s="154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</row>
    <row r="903">
      <c r="A903" s="154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</row>
    <row r="904">
      <c r="A904" s="154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</row>
    <row r="905">
      <c r="A905" s="154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</row>
    <row r="906">
      <c r="A906" s="154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</row>
    <row r="907">
      <c r="A907" s="154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</row>
    <row r="908">
      <c r="A908" s="154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</row>
    <row r="909">
      <c r="A909" s="154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</row>
    <row r="910">
      <c r="A910" s="154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</row>
    <row r="911">
      <c r="A911" s="154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</row>
    <row r="912">
      <c r="A912" s="154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</row>
    <row r="913">
      <c r="A913" s="154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</row>
    <row r="914">
      <c r="A914" s="154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</row>
    <row r="915">
      <c r="A915" s="154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</row>
    <row r="916">
      <c r="A916" s="154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</row>
    <row r="917">
      <c r="A917" s="154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</row>
    <row r="918">
      <c r="A918" s="154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</row>
    <row r="919">
      <c r="A919" s="154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</row>
    <row r="920">
      <c r="A920" s="154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</row>
    <row r="921">
      <c r="A921" s="154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</row>
    <row r="922">
      <c r="A922" s="154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</row>
    <row r="923">
      <c r="A923" s="154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</row>
    <row r="924">
      <c r="A924" s="154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</row>
    <row r="925">
      <c r="A925" s="154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</row>
    <row r="926">
      <c r="A926" s="154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</row>
    <row r="927">
      <c r="A927" s="154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</row>
    <row r="928">
      <c r="A928" s="154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</row>
    <row r="929">
      <c r="A929" s="154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</row>
    <row r="930">
      <c r="A930" s="154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</row>
    <row r="931">
      <c r="A931" s="154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</row>
    <row r="932">
      <c r="A932" s="154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</row>
    <row r="933">
      <c r="A933" s="154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</row>
    <row r="934">
      <c r="A934" s="154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</row>
    <row r="935">
      <c r="A935" s="154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</row>
    <row r="936">
      <c r="A936" s="154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</row>
    <row r="937">
      <c r="A937" s="154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</row>
    <row r="938">
      <c r="A938" s="154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</row>
    <row r="939">
      <c r="A939" s="154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</row>
    <row r="940">
      <c r="A940" s="154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</row>
    <row r="941">
      <c r="A941" s="154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</row>
    <row r="942">
      <c r="A942" s="154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</row>
    <row r="943">
      <c r="A943" s="154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</row>
    <row r="944">
      <c r="A944" s="154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</row>
    <row r="945">
      <c r="A945" s="154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</row>
    <row r="946">
      <c r="A946" s="154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</row>
    <row r="947">
      <c r="A947" s="154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</row>
    <row r="948">
      <c r="A948" s="154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</row>
    <row r="949">
      <c r="A949" s="154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</row>
    <row r="950">
      <c r="A950" s="154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</row>
    <row r="951">
      <c r="A951" s="154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</row>
    <row r="952">
      <c r="A952" s="154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</row>
    <row r="953">
      <c r="A953" s="154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</row>
    <row r="954">
      <c r="A954" s="154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</row>
    <row r="955">
      <c r="A955" s="154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</row>
    <row r="956">
      <c r="A956" s="154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</row>
    <row r="957">
      <c r="A957" s="154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</row>
    <row r="958">
      <c r="A958" s="154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</row>
    <row r="959">
      <c r="A959" s="154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</row>
    <row r="960">
      <c r="A960" s="154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</row>
    <row r="961">
      <c r="A961" s="154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</row>
    <row r="962">
      <c r="A962" s="154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</row>
    <row r="963">
      <c r="A963" s="154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</row>
    <row r="964">
      <c r="A964" s="154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</row>
    <row r="965">
      <c r="A965" s="154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</row>
    <row r="966">
      <c r="A966" s="154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</row>
    <row r="967">
      <c r="A967" s="154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</row>
    <row r="968">
      <c r="A968" s="154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</row>
    <row r="969">
      <c r="A969" s="154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</row>
    <row r="970">
      <c r="A970" s="154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</row>
    <row r="971">
      <c r="A971" s="154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</row>
    <row r="972">
      <c r="A972" s="154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</row>
    <row r="973">
      <c r="A973" s="154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</row>
    <row r="974">
      <c r="A974" s="154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</row>
    <row r="975">
      <c r="A975" s="154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</row>
    <row r="976">
      <c r="A976" s="154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</row>
    <row r="977">
      <c r="A977" s="154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</row>
    <row r="978">
      <c r="A978" s="154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</row>
    <row r="979">
      <c r="A979" s="154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</row>
    <row r="980">
      <c r="A980" s="154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</row>
    <row r="981">
      <c r="A981" s="154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</row>
    <row r="982">
      <c r="A982" s="154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</row>
    <row r="983">
      <c r="A983" s="154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</row>
    <row r="984">
      <c r="A984" s="154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</row>
    <row r="985">
      <c r="A985" s="154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</row>
    <row r="986">
      <c r="A986" s="154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</row>
    <row r="987">
      <c r="A987" s="154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</row>
    <row r="988">
      <c r="A988" s="154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</row>
    <row r="989">
      <c r="A989" s="154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</row>
    <row r="990">
      <c r="A990" s="154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</row>
    <row r="991">
      <c r="A991" s="154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</row>
    <row r="992">
      <c r="A992" s="154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</row>
    <row r="993">
      <c r="A993" s="154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</row>
    <row r="994">
      <c r="A994" s="154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</row>
    <row r="995">
      <c r="A995" s="154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</row>
    <row r="996">
      <c r="A996" s="154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</row>
    <row r="997">
      <c r="A997" s="154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</row>
  </sheetData>
  <autoFilter ref="$A$3:$AC$27"/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63"/>
    <col customWidth="1" min="2" max="2" width="16.88"/>
    <col customWidth="1" min="3" max="60" width="16.38"/>
  </cols>
  <sheetData>
    <row r="1">
      <c r="A1" s="163"/>
      <c r="B1" s="164" t="s">
        <v>52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6"/>
      <c r="BH1" s="167"/>
    </row>
    <row r="2">
      <c r="A2" s="168" t="s">
        <v>1</v>
      </c>
      <c r="B2" s="168" t="s">
        <v>2</v>
      </c>
      <c r="C2" s="168" t="s">
        <v>53</v>
      </c>
      <c r="D2" s="169" t="s">
        <v>5</v>
      </c>
      <c r="E2" s="168" t="s">
        <v>54</v>
      </c>
      <c r="F2" s="169" t="s">
        <v>5</v>
      </c>
      <c r="G2" s="168" t="s">
        <v>55</v>
      </c>
      <c r="H2" s="169" t="s">
        <v>5</v>
      </c>
      <c r="I2" s="168" t="s">
        <v>56</v>
      </c>
      <c r="J2" s="169" t="s">
        <v>5</v>
      </c>
      <c r="K2" s="168" t="s">
        <v>57</v>
      </c>
      <c r="L2" s="169" t="s">
        <v>5</v>
      </c>
      <c r="M2" s="168" t="s">
        <v>58</v>
      </c>
      <c r="N2" s="169" t="s">
        <v>5</v>
      </c>
      <c r="O2" s="168" t="s">
        <v>59</v>
      </c>
      <c r="P2" s="169" t="s">
        <v>5</v>
      </c>
      <c r="Q2" s="168" t="s">
        <v>60</v>
      </c>
      <c r="R2" s="169" t="s">
        <v>5</v>
      </c>
      <c r="S2" s="168" t="s">
        <v>61</v>
      </c>
      <c r="T2" s="169" t="s">
        <v>5</v>
      </c>
      <c r="U2" s="168" t="s">
        <v>62</v>
      </c>
      <c r="V2" s="169" t="s">
        <v>5</v>
      </c>
      <c r="W2" s="168" t="s">
        <v>63</v>
      </c>
      <c r="X2" s="169" t="s">
        <v>5</v>
      </c>
      <c r="Y2" s="168" t="s">
        <v>64</v>
      </c>
      <c r="Z2" s="169" t="s">
        <v>5</v>
      </c>
      <c r="AA2" s="168" t="s">
        <v>65</v>
      </c>
      <c r="AB2" s="169" t="s">
        <v>5</v>
      </c>
      <c r="AC2" s="168" t="s">
        <v>66</v>
      </c>
      <c r="AD2" s="169" t="s">
        <v>5</v>
      </c>
      <c r="AE2" s="168" t="s">
        <v>67</v>
      </c>
      <c r="AF2" s="169" t="s">
        <v>5</v>
      </c>
      <c r="AG2" s="168" t="s">
        <v>68</v>
      </c>
      <c r="AH2" s="169" t="s">
        <v>5</v>
      </c>
      <c r="AI2" s="169" t="s">
        <v>69</v>
      </c>
      <c r="AJ2" s="169" t="s">
        <v>5</v>
      </c>
      <c r="AK2" s="169" t="s">
        <v>70</v>
      </c>
      <c r="AL2" s="169" t="s">
        <v>5</v>
      </c>
      <c r="AM2" s="170" t="s">
        <v>71</v>
      </c>
      <c r="AN2" s="171" t="s">
        <v>5</v>
      </c>
      <c r="AO2" s="172" t="s">
        <v>72</v>
      </c>
      <c r="AP2" s="173" t="s">
        <v>5</v>
      </c>
      <c r="AQ2" s="174" t="s">
        <v>73</v>
      </c>
      <c r="AR2" s="174" t="s">
        <v>5</v>
      </c>
      <c r="AS2" s="175" t="s">
        <v>74</v>
      </c>
      <c r="AT2" s="175" t="s">
        <v>5</v>
      </c>
      <c r="AU2" s="172" t="s">
        <v>75</v>
      </c>
      <c r="AV2" s="172" t="s">
        <v>5</v>
      </c>
      <c r="AW2" s="176" t="s">
        <v>76</v>
      </c>
      <c r="AX2" s="174" t="s">
        <v>77</v>
      </c>
      <c r="AY2" s="174" t="s">
        <v>5</v>
      </c>
      <c r="AZ2" s="177" t="s">
        <v>78</v>
      </c>
      <c r="BA2" s="178" t="s">
        <v>79</v>
      </c>
      <c r="BB2" s="178" t="s">
        <v>5</v>
      </c>
      <c r="BC2" s="179" t="s">
        <v>80</v>
      </c>
      <c r="BD2" s="180" t="s">
        <v>81</v>
      </c>
      <c r="BE2" s="180" t="s">
        <v>5</v>
      </c>
      <c r="BF2" s="181" t="s">
        <v>82</v>
      </c>
      <c r="BG2" s="170" t="s">
        <v>83</v>
      </c>
      <c r="BH2" s="182"/>
    </row>
    <row r="3">
      <c r="A3" s="183">
        <v>1.0</v>
      </c>
      <c r="B3" s="184" t="s">
        <v>26</v>
      </c>
      <c r="C3" s="185">
        <v>39500.0</v>
      </c>
      <c r="D3" s="186">
        <v>0.091</v>
      </c>
      <c r="E3" s="187">
        <v>41000.0</v>
      </c>
      <c r="F3" s="188">
        <v>0.094</v>
      </c>
      <c r="G3" s="185">
        <v>44000.0</v>
      </c>
      <c r="H3" s="188">
        <v>0.098</v>
      </c>
      <c r="I3" s="185">
        <v>45000.0</v>
      </c>
      <c r="J3" s="188">
        <v>0.096</v>
      </c>
      <c r="K3" s="185">
        <v>52000.0</v>
      </c>
      <c r="L3" s="188">
        <v>0.115</v>
      </c>
      <c r="M3" s="185">
        <v>40000.0</v>
      </c>
      <c r="N3" s="189">
        <v>0.094</v>
      </c>
      <c r="O3" s="185">
        <v>48000.0</v>
      </c>
      <c r="P3" s="189">
        <v>0.108</v>
      </c>
      <c r="Q3" s="185">
        <v>52000.0</v>
      </c>
      <c r="R3" s="189">
        <v>0.109</v>
      </c>
      <c r="S3" s="187">
        <v>45000.0</v>
      </c>
      <c r="T3" s="189">
        <v>0.088</v>
      </c>
      <c r="U3" s="187">
        <v>46000.0</v>
      </c>
      <c r="V3" s="189">
        <v>0.095</v>
      </c>
      <c r="W3" s="187">
        <v>48000.0</v>
      </c>
      <c r="X3" s="189">
        <v>0.1</v>
      </c>
      <c r="Y3" s="187">
        <v>45500.0</v>
      </c>
      <c r="Z3" s="189">
        <v>0.105</v>
      </c>
      <c r="AA3" s="187">
        <v>62400.0</v>
      </c>
      <c r="AB3" s="189">
        <v>0.123</v>
      </c>
      <c r="AC3" s="187">
        <v>60700.0</v>
      </c>
      <c r="AD3" s="189">
        <v>0.125</v>
      </c>
      <c r="AE3" s="187">
        <v>61000.0</v>
      </c>
      <c r="AF3" s="189">
        <v>0.123</v>
      </c>
      <c r="AG3" s="187">
        <v>62500.0</v>
      </c>
      <c r="AH3" s="189">
        <v>0.127</v>
      </c>
      <c r="AI3" s="190">
        <v>71000.0</v>
      </c>
      <c r="AJ3" s="189">
        <v>0.144</v>
      </c>
      <c r="AK3" s="190">
        <v>66000.0</v>
      </c>
      <c r="AL3" s="189">
        <v>0.134</v>
      </c>
      <c r="AM3" s="191">
        <v>67500.0</v>
      </c>
      <c r="AN3" s="192">
        <f t="shared" ref="AN3:AN25" si="1">AM3/AM$25</f>
        <v>0.1335462159</v>
      </c>
      <c r="AO3" s="193">
        <v>73000.0</v>
      </c>
      <c r="AP3" s="194">
        <f t="shared" ref="AP3:AP25" si="2">AO3/AO$25</f>
        <v>0.1437672939</v>
      </c>
      <c r="AQ3" s="195">
        <v>97000.0</v>
      </c>
      <c r="AR3" s="196">
        <f t="shared" ref="AR3:AR25" si="3">AQ3/AQ$25</f>
        <v>0.1583994147</v>
      </c>
      <c r="AS3" s="197">
        <v>87800.0</v>
      </c>
      <c r="AT3" s="198">
        <f t="shared" ref="AT3:AT25" si="4">AS3/AS$25</f>
        <v>0.1626353597</v>
      </c>
      <c r="AU3" s="193">
        <v>98511.0</v>
      </c>
      <c r="AV3" s="194">
        <f t="shared" ref="AV3:AV25" si="5">AU3/AU$25</f>
        <v>0.1662840591</v>
      </c>
      <c r="AW3" s="199">
        <f t="shared" ref="AW3:AW24" si="6">(AU3-AS3)/AS3</f>
        <v>0.1219931663</v>
      </c>
      <c r="AX3" s="195">
        <v>68690.0</v>
      </c>
      <c r="AY3" s="196">
        <f t="shared" ref="AY3:AY25" si="7">AX3/AX$25</f>
        <v>0.1357096852</v>
      </c>
      <c r="AZ3" s="200">
        <f t="shared" ref="AZ3:AZ24" si="8">AX3/AU3-1</f>
        <v>-0.302717463</v>
      </c>
      <c r="BA3" s="201">
        <v>72400.0</v>
      </c>
      <c r="BB3" s="202">
        <f t="shared" ref="BB3:BB25" si="9">BA3/BA$25</f>
        <v>0.1350506906</v>
      </c>
      <c r="BC3" s="203">
        <f t="shared" ref="BC3:BC24" si="10">BA3/AX3-1</f>
        <v>0.05401077304</v>
      </c>
      <c r="BD3" s="204">
        <v>74520.0</v>
      </c>
      <c r="BE3" s="205">
        <f t="shared" ref="BE3:BE25" si="11">BD3/BD$25</f>
        <v>0.1312433956</v>
      </c>
      <c r="BF3" s="206">
        <f t="shared" ref="BF3:BF25" si="12">BD3/BA3-1</f>
        <v>0.02928176796</v>
      </c>
      <c r="BG3" s="207" t="s">
        <v>84</v>
      </c>
      <c r="BH3" s="167"/>
    </row>
    <row r="4">
      <c r="A4" s="183">
        <v>2.0</v>
      </c>
      <c r="B4" s="184" t="s">
        <v>29</v>
      </c>
      <c r="C4" s="185">
        <v>28000.0</v>
      </c>
      <c r="D4" s="186">
        <v>0.065</v>
      </c>
      <c r="E4" s="187">
        <v>25000.0</v>
      </c>
      <c r="F4" s="188">
        <v>0.057</v>
      </c>
      <c r="G4" s="185">
        <v>27000.0</v>
      </c>
      <c r="H4" s="188">
        <v>0.06</v>
      </c>
      <c r="I4" s="185">
        <v>29000.0</v>
      </c>
      <c r="J4" s="188">
        <v>0.062</v>
      </c>
      <c r="K4" s="185">
        <v>27000.0</v>
      </c>
      <c r="L4" s="188">
        <v>0.06</v>
      </c>
      <c r="M4" s="185">
        <v>26000.0</v>
      </c>
      <c r="N4" s="189">
        <v>0.061</v>
      </c>
      <c r="O4" s="185">
        <v>32000.0</v>
      </c>
      <c r="P4" s="189">
        <v>0.072</v>
      </c>
      <c r="Q4" s="185">
        <v>31000.0</v>
      </c>
      <c r="R4" s="189">
        <v>0.065</v>
      </c>
      <c r="S4" s="187">
        <v>33000.0</v>
      </c>
      <c r="T4" s="189">
        <v>0.065</v>
      </c>
      <c r="U4" s="187">
        <v>31000.0</v>
      </c>
      <c r="V4" s="189">
        <v>0.064</v>
      </c>
      <c r="W4" s="187">
        <v>33900.0</v>
      </c>
      <c r="X4" s="189">
        <v>0.071</v>
      </c>
      <c r="Y4" s="187">
        <v>30200.0</v>
      </c>
      <c r="Z4" s="189">
        <v>0.07</v>
      </c>
      <c r="AA4" s="187">
        <v>37350.0</v>
      </c>
      <c r="AB4" s="189">
        <v>0.074</v>
      </c>
      <c r="AC4" s="187">
        <v>34000.0</v>
      </c>
      <c r="AD4" s="189">
        <v>0.07</v>
      </c>
      <c r="AE4" s="187">
        <v>32300.0</v>
      </c>
      <c r="AF4" s="189">
        <v>0.065</v>
      </c>
      <c r="AG4" s="187">
        <v>34000.0</v>
      </c>
      <c r="AH4" s="189">
        <v>0.069</v>
      </c>
      <c r="AI4" s="190">
        <v>30600.0</v>
      </c>
      <c r="AJ4" s="189">
        <v>0.062</v>
      </c>
      <c r="AK4" s="190">
        <v>28700.0</v>
      </c>
      <c r="AL4" s="189">
        <v>0.058</v>
      </c>
      <c r="AM4" s="191">
        <v>29200.0</v>
      </c>
      <c r="AN4" s="192">
        <f t="shared" si="1"/>
        <v>0.05777110376</v>
      </c>
      <c r="AO4" s="193">
        <v>29500.0</v>
      </c>
      <c r="AP4" s="194">
        <f t="shared" si="2"/>
        <v>0.05809774207</v>
      </c>
      <c r="AQ4" s="195">
        <v>39850.0</v>
      </c>
      <c r="AR4" s="196">
        <f t="shared" si="3"/>
        <v>0.06507439874</v>
      </c>
      <c r="AS4" s="197">
        <v>35068.0</v>
      </c>
      <c r="AT4" s="198">
        <f t="shared" si="4"/>
        <v>0.06495782224</v>
      </c>
      <c r="AU4" s="193">
        <v>43000.0</v>
      </c>
      <c r="AV4" s="194">
        <f t="shared" si="5"/>
        <v>0.07258290487</v>
      </c>
      <c r="AW4" s="199">
        <f t="shared" si="6"/>
        <v>0.2261891183</v>
      </c>
      <c r="AX4" s="195">
        <v>37840.0</v>
      </c>
      <c r="AY4" s="196">
        <f t="shared" si="7"/>
        <v>0.0747598557</v>
      </c>
      <c r="AZ4" s="200">
        <f t="shared" si="8"/>
        <v>-0.12</v>
      </c>
      <c r="BA4" s="201">
        <v>39200.0</v>
      </c>
      <c r="BB4" s="202">
        <f t="shared" si="9"/>
        <v>0.07312136841</v>
      </c>
      <c r="BC4" s="203">
        <f t="shared" si="10"/>
        <v>0.03594080338</v>
      </c>
      <c r="BD4" s="204">
        <v>42000.0</v>
      </c>
      <c r="BE4" s="205">
        <f t="shared" si="11"/>
        <v>0.07396970764</v>
      </c>
      <c r="BF4" s="206">
        <f t="shared" si="12"/>
        <v>0.07142857143</v>
      </c>
      <c r="BG4" s="207" t="s">
        <v>84</v>
      </c>
      <c r="BH4" s="167"/>
    </row>
    <row r="5">
      <c r="A5" s="183">
        <v>3.0</v>
      </c>
      <c r="B5" s="184" t="s">
        <v>31</v>
      </c>
      <c r="C5" s="185">
        <v>28000.0</v>
      </c>
      <c r="D5" s="186">
        <v>0.065</v>
      </c>
      <c r="E5" s="187">
        <v>26000.0</v>
      </c>
      <c r="F5" s="188">
        <v>0.06</v>
      </c>
      <c r="G5" s="185">
        <v>26000.0</v>
      </c>
      <c r="H5" s="188">
        <v>0.058</v>
      </c>
      <c r="I5" s="185">
        <v>31500.0</v>
      </c>
      <c r="J5" s="188">
        <v>0.067</v>
      </c>
      <c r="K5" s="185">
        <v>31000.0</v>
      </c>
      <c r="L5" s="188">
        <v>0.068</v>
      </c>
      <c r="M5" s="185">
        <v>33500.0</v>
      </c>
      <c r="N5" s="189">
        <v>0.079</v>
      </c>
      <c r="O5" s="185">
        <v>26000.0</v>
      </c>
      <c r="P5" s="189">
        <v>0.059</v>
      </c>
      <c r="Q5" s="185">
        <v>27000.0</v>
      </c>
      <c r="R5" s="189">
        <v>0.057</v>
      </c>
      <c r="S5" s="187">
        <v>40441.0</v>
      </c>
      <c r="T5" s="189">
        <v>0.079</v>
      </c>
      <c r="U5" s="187">
        <v>36000.0</v>
      </c>
      <c r="V5" s="189">
        <v>0.074</v>
      </c>
      <c r="W5" s="187">
        <v>29000.0</v>
      </c>
      <c r="X5" s="189">
        <v>0.061</v>
      </c>
      <c r="Y5" s="187">
        <v>25500.0</v>
      </c>
      <c r="Z5" s="189">
        <v>0.059</v>
      </c>
      <c r="AA5" s="187">
        <v>34250.0</v>
      </c>
      <c r="AB5" s="189">
        <v>0.068</v>
      </c>
      <c r="AC5" s="187">
        <v>33200.0</v>
      </c>
      <c r="AD5" s="189">
        <v>0.068</v>
      </c>
      <c r="AE5" s="187">
        <v>34100.0</v>
      </c>
      <c r="AF5" s="189">
        <v>0.069</v>
      </c>
      <c r="AG5" s="187">
        <v>38700.0</v>
      </c>
      <c r="AH5" s="189">
        <v>0.078</v>
      </c>
      <c r="AI5" s="190">
        <v>35300.0</v>
      </c>
      <c r="AJ5" s="189">
        <v>0.071</v>
      </c>
      <c r="AK5" s="190">
        <v>31500.0</v>
      </c>
      <c r="AL5" s="189">
        <v>0.064</v>
      </c>
      <c r="AM5" s="191">
        <v>34000.0</v>
      </c>
      <c r="AN5" s="192">
        <f t="shared" si="1"/>
        <v>0.06726772356</v>
      </c>
      <c r="AO5" s="193">
        <v>33600.0</v>
      </c>
      <c r="AP5" s="194">
        <f t="shared" si="2"/>
        <v>0.06617234351</v>
      </c>
      <c r="AQ5" s="195">
        <v>45000.0</v>
      </c>
      <c r="AR5" s="196">
        <f t="shared" si="3"/>
        <v>0.07348426457</v>
      </c>
      <c r="AS5" s="197">
        <v>36520.0</v>
      </c>
      <c r="AT5" s="198">
        <f t="shared" si="4"/>
        <v>0.0676474184</v>
      </c>
      <c r="AU5" s="193">
        <v>37980.0</v>
      </c>
      <c r="AV5" s="194">
        <f t="shared" si="5"/>
        <v>0.06410927272</v>
      </c>
      <c r="AW5" s="199">
        <f t="shared" si="6"/>
        <v>0.03997809419</v>
      </c>
      <c r="AX5" s="195">
        <v>34720.0</v>
      </c>
      <c r="AY5" s="196">
        <f t="shared" si="7"/>
        <v>0.06859572383</v>
      </c>
      <c r="AZ5" s="200">
        <f t="shared" si="8"/>
        <v>-0.08583464982</v>
      </c>
      <c r="BA5" s="201">
        <v>36800.0</v>
      </c>
      <c r="BB5" s="202">
        <f t="shared" si="9"/>
        <v>0.06864454994</v>
      </c>
      <c r="BC5" s="203">
        <f t="shared" si="10"/>
        <v>0.0599078341</v>
      </c>
      <c r="BD5" s="204">
        <v>38920.0</v>
      </c>
      <c r="BE5" s="205">
        <f t="shared" si="11"/>
        <v>0.06854526242</v>
      </c>
      <c r="BF5" s="206">
        <f t="shared" si="12"/>
        <v>0.05760869565</v>
      </c>
      <c r="BG5" s="207" t="s">
        <v>84</v>
      </c>
      <c r="BH5" s="167"/>
    </row>
    <row r="6">
      <c r="A6" s="183">
        <v>4.0</v>
      </c>
      <c r="B6" s="184" t="s">
        <v>30</v>
      </c>
      <c r="C6" s="185">
        <v>26000.0</v>
      </c>
      <c r="D6" s="186">
        <v>0.06</v>
      </c>
      <c r="E6" s="187">
        <v>27000.0</v>
      </c>
      <c r="F6" s="188">
        <v>0.062</v>
      </c>
      <c r="G6" s="185">
        <v>27000.0</v>
      </c>
      <c r="H6" s="188">
        <v>0.06</v>
      </c>
      <c r="I6" s="185">
        <v>23000.0</v>
      </c>
      <c r="J6" s="188">
        <v>0.049</v>
      </c>
      <c r="K6" s="185">
        <v>21000.0</v>
      </c>
      <c r="L6" s="188">
        <v>0.046</v>
      </c>
      <c r="M6" s="185">
        <v>20500.0</v>
      </c>
      <c r="N6" s="189">
        <v>0.048</v>
      </c>
      <c r="O6" s="185">
        <v>20000.0</v>
      </c>
      <c r="P6" s="189">
        <v>0.045</v>
      </c>
      <c r="Q6" s="185">
        <v>23000.0</v>
      </c>
      <c r="R6" s="189">
        <v>0.048</v>
      </c>
      <c r="S6" s="187">
        <v>26000.0</v>
      </c>
      <c r="T6" s="189">
        <v>0.051</v>
      </c>
      <c r="U6" s="187">
        <v>25000.0</v>
      </c>
      <c r="V6" s="189">
        <v>0.052</v>
      </c>
      <c r="W6" s="187">
        <v>22000.0</v>
      </c>
      <c r="X6" s="189">
        <v>0.046</v>
      </c>
      <c r="Y6" s="187">
        <v>23000.0</v>
      </c>
      <c r="Z6" s="189">
        <v>0.053</v>
      </c>
      <c r="AA6" s="187">
        <v>32170.0</v>
      </c>
      <c r="AB6" s="189">
        <v>0.064</v>
      </c>
      <c r="AC6" s="187">
        <v>34500.0</v>
      </c>
      <c r="AD6" s="189">
        <v>0.071</v>
      </c>
      <c r="AE6" s="187">
        <v>35600.0</v>
      </c>
      <c r="AF6" s="189">
        <v>0.072</v>
      </c>
      <c r="AG6" s="187">
        <v>32600.0</v>
      </c>
      <c r="AH6" s="189">
        <v>0.066</v>
      </c>
      <c r="AI6" s="190">
        <v>29800.0</v>
      </c>
      <c r="AJ6" s="189">
        <v>0.06</v>
      </c>
      <c r="AK6" s="190">
        <v>26550.0</v>
      </c>
      <c r="AL6" s="189">
        <v>0.054</v>
      </c>
      <c r="AM6" s="191">
        <v>24800.0</v>
      </c>
      <c r="AN6" s="192">
        <f t="shared" si="1"/>
        <v>0.04906586895</v>
      </c>
      <c r="AO6" s="193">
        <v>27050.0</v>
      </c>
      <c r="AP6" s="194">
        <f t="shared" si="2"/>
        <v>0.05327267535</v>
      </c>
      <c r="AQ6" s="195">
        <v>28600.0</v>
      </c>
      <c r="AR6" s="196">
        <f t="shared" si="3"/>
        <v>0.04670333259</v>
      </c>
      <c r="AS6" s="197">
        <v>25700.0</v>
      </c>
      <c r="AT6" s="198">
        <f t="shared" si="4"/>
        <v>0.04760511097</v>
      </c>
      <c r="AU6" s="193">
        <v>33740.0</v>
      </c>
      <c r="AV6" s="194">
        <f t="shared" si="5"/>
        <v>0.0569522607</v>
      </c>
      <c r="AW6" s="199">
        <f t="shared" si="6"/>
        <v>0.3128404669</v>
      </c>
      <c r="AX6" s="195">
        <v>31378.0</v>
      </c>
      <c r="AY6" s="196">
        <f t="shared" si="7"/>
        <v>0.06199299028</v>
      </c>
      <c r="AZ6" s="200">
        <f t="shared" si="8"/>
        <v>-0.07000592768</v>
      </c>
      <c r="BA6" s="201">
        <v>36700.0</v>
      </c>
      <c r="BB6" s="202">
        <f t="shared" si="9"/>
        <v>0.06845801584</v>
      </c>
      <c r="BC6" s="203">
        <f t="shared" si="10"/>
        <v>0.1696092804</v>
      </c>
      <c r="BD6" s="204">
        <v>38230.0</v>
      </c>
      <c r="BE6" s="205">
        <f t="shared" si="11"/>
        <v>0.06733004579</v>
      </c>
      <c r="BF6" s="206">
        <f t="shared" si="12"/>
        <v>0.0416893733</v>
      </c>
      <c r="BG6" s="207" t="s">
        <v>84</v>
      </c>
      <c r="BH6" s="167"/>
    </row>
    <row r="7">
      <c r="A7" s="183">
        <v>5.0</v>
      </c>
      <c r="B7" s="184" t="s">
        <v>28</v>
      </c>
      <c r="C7" s="185">
        <v>32000.0</v>
      </c>
      <c r="D7" s="186">
        <v>0.074</v>
      </c>
      <c r="E7" s="187">
        <v>28000.0</v>
      </c>
      <c r="F7" s="188">
        <v>0.064</v>
      </c>
      <c r="G7" s="185">
        <v>34500.0</v>
      </c>
      <c r="H7" s="188">
        <v>0.077</v>
      </c>
      <c r="I7" s="185">
        <v>36000.0</v>
      </c>
      <c r="J7" s="188">
        <v>0.076</v>
      </c>
      <c r="K7" s="185">
        <v>31000.0</v>
      </c>
      <c r="L7" s="188">
        <v>0.068</v>
      </c>
      <c r="M7" s="185">
        <v>32400.0</v>
      </c>
      <c r="N7" s="189">
        <v>0.076</v>
      </c>
      <c r="O7" s="185">
        <v>33000.0</v>
      </c>
      <c r="P7" s="189">
        <v>0.074</v>
      </c>
      <c r="Q7" s="185">
        <v>35000.0</v>
      </c>
      <c r="R7" s="189">
        <v>0.073</v>
      </c>
      <c r="S7" s="187">
        <v>30000.0</v>
      </c>
      <c r="T7" s="189">
        <v>0.059</v>
      </c>
      <c r="U7" s="187">
        <v>27000.0</v>
      </c>
      <c r="V7" s="189">
        <v>0.056</v>
      </c>
      <c r="W7" s="187">
        <v>25600.0</v>
      </c>
      <c r="X7" s="189">
        <v>0.054</v>
      </c>
      <c r="Y7" s="187">
        <v>23500.0</v>
      </c>
      <c r="Z7" s="189">
        <v>0.054</v>
      </c>
      <c r="AA7" s="187">
        <v>26530.0</v>
      </c>
      <c r="AB7" s="189">
        <v>0.052</v>
      </c>
      <c r="AC7" s="187">
        <v>26000.0</v>
      </c>
      <c r="AD7" s="189">
        <v>0.053</v>
      </c>
      <c r="AE7" s="187">
        <v>28650.0</v>
      </c>
      <c r="AF7" s="189">
        <v>0.058</v>
      </c>
      <c r="AG7" s="187">
        <v>28000.0</v>
      </c>
      <c r="AH7" s="189">
        <v>0.057</v>
      </c>
      <c r="AI7" s="190">
        <v>28500.0</v>
      </c>
      <c r="AJ7" s="189">
        <v>0.058</v>
      </c>
      <c r="AK7" s="190">
        <v>27200.0</v>
      </c>
      <c r="AL7" s="189">
        <v>0.055</v>
      </c>
      <c r="AM7" s="191">
        <v>28500.0</v>
      </c>
      <c r="AN7" s="192">
        <f t="shared" si="1"/>
        <v>0.05638618004</v>
      </c>
      <c r="AO7" s="193">
        <v>28067.0</v>
      </c>
      <c r="AP7" s="194">
        <f t="shared" si="2"/>
        <v>0.05527557039</v>
      </c>
      <c r="AQ7" s="195">
        <v>31200.0</v>
      </c>
      <c r="AR7" s="196">
        <f t="shared" si="3"/>
        <v>0.0509490901</v>
      </c>
      <c r="AS7" s="197">
        <v>28392.0</v>
      </c>
      <c r="AT7" s="198">
        <f t="shared" si="4"/>
        <v>0.05259160742</v>
      </c>
      <c r="AU7" s="193">
        <v>32520.0</v>
      </c>
      <c r="AV7" s="194">
        <f t="shared" si="5"/>
        <v>0.05489293178</v>
      </c>
      <c r="AW7" s="199">
        <f t="shared" si="6"/>
        <v>0.1453930685</v>
      </c>
      <c r="AX7" s="195">
        <v>29740.0</v>
      </c>
      <c r="AY7" s="196">
        <f t="shared" si="7"/>
        <v>0.05875682105</v>
      </c>
      <c r="AZ7" s="200">
        <f t="shared" si="8"/>
        <v>-0.08548585486</v>
      </c>
      <c r="BA7" s="201">
        <v>31800.0</v>
      </c>
      <c r="BB7" s="202">
        <f t="shared" si="9"/>
        <v>0.05931784478</v>
      </c>
      <c r="BC7" s="203">
        <f t="shared" si="10"/>
        <v>0.0692669805</v>
      </c>
      <c r="BD7" s="204">
        <v>36520.0</v>
      </c>
      <c r="BE7" s="205">
        <f t="shared" si="11"/>
        <v>0.06431842198</v>
      </c>
      <c r="BF7" s="206">
        <f t="shared" si="12"/>
        <v>0.148427673</v>
      </c>
      <c r="BG7" s="207" t="s">
        <v>84</v>
      </c>
      <c r="BH7" s="167"/>
    </row>
    <row r="8">
      <c r="A8" s="183">
        <v>6.0</v>
      </c>
      <c r="B8" s="184" t="s">
        <v>34</v>
      </c>
      <c r="C8" s="185">
        <v>16000.0</v>
      </c>
      <c r="D8" s="186">
        <v>0.037</v>
      </c>
      <c r="E8" s="187">
        <v>15000.0</v>
      </c>
      <c r="F8" s="188">
        <v>0.034</v>
      </c>
      <c r="G8" s="185">
        <v>15000.0</v>
      </c>
      <c r="H8" s="188">
        <v>0.033</v>
      </c>
      <c r="I8" s="185">
        <v>16000.0</v>
      </c>
      <c r="J8" s="188">
        <v>0.034</v>
      </c>
      <c r="K8" s="185">
        <v>16000.0</v>
      </c>
      <c r="L8" s="188">
        <v>0.035</v>
      </c>
      <c r="M8" s="185">
        <v>15000.0</v>
      </c>
      <c r="N8" s="189">
        <v>0.035</v>
      </c>
      <c r="O8" s="185">
        <v>16500.0</v>
      </c>
      <c r="P8" s="189">
        <v>0.037</v>
      </c>
      <c r="Q8" s="185">
        <v>20500.0</v>
      </c>
      <c r="R8" s="189">
        <v>0.043</v>
      </c>
      <c r="S8" s="187">
        <v>26350.0</v>
      </c>
      <c r="T8" s="189">
        <v>0.052</v>
      </c>
      <c r="U8" s="187">
        <v>25690.0</v>
      </c>
      <c r="V8" s="189">
        <v>0.053</v>
      </c>
      <c r="W8" s="187">
        <v>23800.0</v>
      </c>
      <c r="X8" s="189">
        <v>0.05</v>
      </c>
      <c r="Y8" s="187">
        <v>20000.0</v>
      </c>
      <c r="Z8" s="189">
        <v>0.046</v>
      </c>
      <c r="AA8" s="187">
        <v>26110.0</v>
      </c>
      <c r="AB8" s="189">
        <v>0.052</v>
      </c>
      <c r="AC8" s="187">
        <v>25770.0</v>
      </c>
      <c r="AD8" s="189">
        <v>0.053</v>
      </c>
      <c r="AE8" s="187">
        <v>22289.0</v>
      </c>
      <c r="AF8" s="189">
        <v>0.045</v>
      </c>
      <c r="AG8" s="187">
        <v>28971.0</v>
      </c>
      <c r="AH8" s="189">
        <v>0.059</v>
      </c>
      <c r="AI8" s="190">
        <v>29480.0</v>
      </c>
      <c r="AJ8" s="189">
        <v>0.06</v>
      </c>
      <c r="AK8" s="190">
        <v>29918.0</v>
      </c>
      <c r="AL8" s="189">
        <v>0.061</v>
      </c>
      <c r="AM8" s="191">
        <v>32000.0</v>
      </c>
      <c r="AN8" s="192">
        <f t="shared" si="1"/>
        <v>0.06331079865</v>
      </c>
      <c r="AO8" s="193">
        <v>30466.0</v>
      </c>
      <c r="AP8" s="194">
        <f t="shared" si="2"/>
        <v>0.06000019694</v>
      </c>
      <c r="AQ8" s="195">
        <v>40744.0</v>
      </c>
      <c r="AR8" s="196">
        <f t="shared" si="3"/>
        <v>0.06653428612</v>
      </c>
      <c r="AS8" s="197">
        <v>32871.0</v>
      </c>
      <c r="AT8" s="198">
        <f t="shared" si="4"/>
        <v>0.06088823357</v>
      </c>
      <c r="AU8" s="193">
        <v>33863.0</v>
      </c>
      <c r="AV8" s="194">
        <f t="shared" si="5"/>
        <v>0.05715988157</v>
      </c>
      <c r="AW8" s="199">
        <f t="shared" si="6"/>
        <v>0.03017857686</v>
      </c>
      <c r="AX8" s="195">
        <v>31174.0</v>
      </c>
      <c r="AY8" s="196">
        <f t="shared" si="7"/>
        <v>0.06158995088</v>
      </c>
      <c r="AZ8" s="200">
        <f t="shared" si="8"/>
        <v>-0.07940820364</v>
      </c>
      <c r="BA8" s="201">
        <v>32771.0</v>
      </c>
      <c r="BB8" s="202">
        <f t="shared" si="9"/>
        <v>0.06112909093</v>
      </c>
      <c r="BC8" s="203">
        <f t="shared" si="10"/>
        <v>0.05122858793</v>
      </c>
      <c r="BD8" s="204">
        <v>35436.0</v>
      </c>
      <c r="BE8" s="205">
        <f t="shared" si="11"/>
        <v>0.06240929905</v>
      </c>
      <c r="BF8" s="206">
        <f t="shared" si="12"/>
        <v>0.08132190046</v>
      </c>
      <c r="BG8" s="207" t="s">
        <v>84</v>
      </c>
      <c r="BH8" s="167"/>
    </row>
    <row r="9">
      <c r="A9" s="183">
        <v>7.0</v>
      </c>
      <c r="B9" s="184" t="s">
        <v>33</v>
      </c>
      <c r="C9" s="185">
        <v>34000.0</v>
      </c>
      <c r="D9" s="186">
        <v>0.079</v>
      </c>
      <c r="E9" s="187">
        <v>33000.0</v>
      </c>
      <c r="F9" s="188">
        <v>0.076</v>
      </c>
      <c r="G9" s="185">
        <v>31000.0</v>
      </c>
      <c r="H9" s="188">
        <v>0.069</v>
      </c>
      <c r="I9" s="185">
        <v>32000.0</v>
      </c>
      <c r="J9" s="188">
        <v>0.068</v>
      </c>
      <c r="K9" s="185">
        <v>29000.0</v>
      </c>
      <c r="L9" s="188">
        <v>0.064</v>
      </c>
      <c r="M9" s="185">
        <v>32800.0</v>
      </c>
      <c r="N9" s="189">
        <v>0.077</v>
      </c>
      <c r="O9" s="185">
        <v>31000.0</v>
      </c>
      <c r="P9" s="189">
        <v>0.07</v>
      </c>
      <c r="Q9" s="185">
        <v>35000.0</v>
      </c>
      <c r="R9" s="189">
        <v>0.073</v>
      </c>
      <c r="S9" s="187">
        <v>32000.0</v>
      </c>
      <c r="T9" s="189">
        <v>0.063</v>
      </c>
      <c r="U9" s="187">
        <v>29500.0</v>
      </c>
      <c r="V9" s="189">
        <v>0.061</v>
      </c>
      <c r="W9" s="187">
        <v>27600.0</v>
      </c>
      <c r="X9" s="189">
        <v>0.058</v>
      </c>
      <c r="Y9" s="187">
        <v>20500.0</v>
      </c>
      <c r="Z9" s="189">
        <v>0.047</v>
      </c>
      <c r="AA9" s="187">
        <v>31800.0</v>
      </c>
      <c r="AB9" s="189">
        <v>0.063</v>
      </c>
      <c r="AC9" s="187">
        <v>29800.0</v>
      </c>
      <c r="AD9" s="189">
        <v>0.061</v>
      </c>
      <c r="AE9" s="187">
        <v>28000.0</v>
      </c>
      <c r="AF9" s="189">
        <v>0.057</v>
      </c>
      <c r="AG9" s="187">
        <v>25200.0</v>
      </c>
      <c r="AH9" s="189">
        <v>0.051</v>
      </c>
      <c r="AI9" s="190">
        <v>33600.0</v>
      </c>
      <c r="AJ9" s="189">
        <v>0.068</v>
      </c>
      <c r="AK9" s="190">
        <v>31500.0</v>
      </c>
      <c r="AL9" s="189">
        <v>0.064</v>
      </c>
      <c r="AM9" s="191">
        <v>30500.0</v>
      </c>
      <c r="AN9" s="192">
        <f t="shared" si="1"/>
        <v>0.06034310496</v>
      </c>
      <c r="AO9" s="193">
        <v>30000.0</v>
      </c>
      <c r="AP9" s="194">
        <f t="shared" si="2"/>
        <v>0.05908244956</v>
      </c>
      <c r="AQ9" s="195">
        <v>31600.0</v>
      </c>
      <c r="AR9" s="196">
        <f t="shared" si="3"/>
        <v>0.05160228356</v>
      </c>
      <c r="AS9" s="197">
        <v>28030.0</v>
      </c>
      <c r="AT9" s="198">
        <f t="shared" si="4"/>
        <v>0.05192106072</v>
      </c>
      <c r="AU9" s="193">
        <v>33620.0</v>
      </c>
      <c r="AV9" s="194">
        <f t="shared" si="5"/>
        <v>0.05674970376</v>
      </c>
      <c r="AW9" s="199">
        <f t="shared" si="6"/>
        <v>0.199429183</v>
      </c>
      <c r="AX9" s="195">
        <v>29870.0</v>
      </c>
      <c r="AY9" s="196">
        <f t="shared" si="7"/>
        <v>0.05901365987</v>
      </c>
      <c r="AZ9" s="200">
        <f t="shared" si="8"/>
        <v>-0.1115407496</v>
      </c>
      <c r="BA9" s="201">
        <v>31300.0</v>
      </c>
      <c r="BB9" s="202">
        <f t="shared" si="9"/>
        <v>0.05838517427</v>
      </c>
      <c r="BC9" s="203">
        <f t="shared" si="10"/>
        <v>0.04787412119</v>
      </c>
      <c r="BD9" s="204">
        <v>32400.0</v>
      </c>
      <c r="BE9" s="205">
        <f t="shared" si="11"/>
        <v>0.0570623459</v>
      </c>
      <c r="BF9" s="206">
        <f t="shared" si="12"/>
        <v>0.03514376997</v>
      </c>
      <c r="BG9" s="207" t="s">
        <v>84</v>
      </c>
      <c r="BH9" s="167"/>
    </row>
    <row r="10">
      <c r="A10" s="183">
        <v>8.0</v>
      </c>
      <c r="B10" s="184" t="s">
        <v>38</v>
      </c>
      <c r="C10" s="185">
        <v>26232.0</v>
      </c>
      <c r="D10" s="186">
        <v>0.061</v>
      </c>
      <c r="E10" s="187">
        <v>26003.0</v>
      </c>
      <c r="F10" s="188">
        <v>0.06</v>
      </c>
      <c r="G10" s="185">
        <v>24522.0</v>
      </c>
      <c r="H10" s="188">
        <v>0.055</v>
      </c>
      <c r="I10" s="185">
        <v>32200.0</v>
      </c>
      <c r="J10" s="188">
        <v>0.068</v>
      </c>
      <c r="K10" s="185">
        <v>34400.0</v>
      </c>
      <c r="L10" s="188">
        <v>0.076</v>
      </c>
      <c r="M10" s="185">
        <v>30050.0</v>
      </c>
      <c r="N10" s="189">
        <v>0.071</v>
      </c>
      <c r="O10" s="185">
        <v>36500.0</v>
      </c>
      <c r="P10" s="189">
        <v>0.082</v>
      </c>
      <c r="Q10" s="185">
        <v>39000.0</v>
      </c>
      <c r="R10" s="189">
        <v>0.082</v>
      </c>
      <c r="S10" s="187">
        <v>47650.0</v>
      </c>
      <c r="T10" s="189">
        <v>0.094</v>
      </c>
      <c r="U10" s="187">
        <v>42300.0</v>
      </c>
      <c r="V10" s="189">
        <v>0.087</v>
      </c>
      <c r="W10" s="187">
        <v>38000.0</v>
      </c>
      <c r="X10" s="189">
        <v>0.079</v>
      </c>
      <c r="Y10" s="187">
        <v>30000.0</v>
      </c>
      <c r="Z10" s="189">
        <v>0.069</v>
      </c>
      <c r="AA10" s="187">
        <v>32500.0</v>
      </c>
      <c r="AB10" s="189">
        <v>0.064</v>
      </c>
      <c r="AC10" s="187">
        <v>28700.0</v>
      </c>
      <c r="AD10" s="189">
        <v>0.059</v>
      </c>
      <c r="AE10" s="187">
        <v>31450.0</v>
      </c>
      <c r="AF10" s="189">
        <v>0.064</v>
      </c>
      <c r="AG10" s="187">
        <v>42000.0</v>
      </c>
      <c r="AH10" s="189">
        <v>0.085</v>
      </c>
      <c r="AI10" s="190">
        <v>41200.0</v>
      </c>
      <c r="AJ10" s="189">
        <v>0.083</v>
      </c>
      <c r="AK10" s="190">
        <v>37000.0</v>
      </c>
      <c r="AL10" s="189">
        <v>0.075</v>
      </c>
      <c r="AM10" s="191">
        <v>41000.0</v>
      </c>
      <c r="AN10" s="192">
        <f t="shared" si="1"/>
        <v>0.08111696077</v>
      </c>
      <c r="AO10" s="193">
        <v>39733.0</v>
      </c>
      <c r="AP10" s="194">
        <f t="shared" si="2"/>
        <v>0.07825076561</v>
      </c>
      <c r="AQ10" s="195">
        <v>52400.0</v>
      </c>
      <c r="AR10" s="196">
        <f t="shared" si="3"/>
        <v>0.08556834363</v>
      </c>
      <c r="AS10" s="197">
        <v>39520.0</v>
      </c>
      <c r="AT10" s="198">
        <f t="shared" si="4"/>
        <v>0.07320443524</v>
      </c>
      <c r="AU10" s="193">
        <v>41830.0</v>
      </c>
      <c r="AV10" s="194">
        <f t="shared" si="5"/>
        <v>0.07060797467</v>
      </c>
      <c r="AW10" s="199">
        <f t="shared" si="6"/>
        <v>0.058451417</v>
      </c>
      <c r="AX10" s="195">
        <v>36392.0</v>
      </c>
      <c r="AY10" s="196">
        <f t="shared" si="7"/>
        <v>0.07189906629</v>
      </c>
      <c r="AZ10" s="200">
        <f t="shared" si="8"/>
        <v>-0.1300023906</v>
      </c>
      <c r="BA10" s="201">
        <v>28700.0</v>
      </c>
      <c r="BB10" s="202">
        <f t="shared" si="9"/>
        <v>0.05353528759</v>
      </c>
      <c r="BC10" s="208">
        <f t="shared" si="10"/>
        <v>-0.2113651352</v>
      </c>
      <c r="BD10" s="204">
        <v>31300.0</v>
      </c>
      <c r="BE10" s="205">
        <f t="shared" si="11"/>
        <v>0.05512504403</v>
      </c>
      <c r="BF10" s="209">
        <f t="shared" si="12"/>
        <v>0.09059233449</v>
      </c>
      <c r="BG10" s="207" t="s">
        <v>84</v>
      </c>
      <c r="BH10" s="167"/>
    </row>
    <row r="11">
      <c r="A11" s="183">
        <v>9.0</v>
      </c>
      <c r="B11" s="184" t="s">
        <v>35</v>
      </c>
      <c r="C11" s="185">
        <v>25200.0</v>
      </c>
      <c r="D11" s="186">
        <v>0.058</v>
      </c>
      <c r="E11" s="187">
        <v>25200.0</v>
      </c>
      <c r="F11" s="188">
        <v>0.058</v>
      </c>
      <c r="G11" s="185">
        <v>24000.0</v>
      </c>
      <c r="H11" s="188">
        <v>0.053</v>
      </c>
      <c r="I11" s="185">
        <v>25740.0</v>
      </c>
      <c r="J11" s="188">
        <v>0.055</v>
      </c>
      <c r="K11" s="185">
        <v>27644.0</v>
      </c>
      <c r="L11" s="188">
        <v>0.061</v>
      </c>
      <c r="M11" s="185">
        <v>22289.0</v>
      </c>
      <c r="N11" s="189">
        <v>0.052</v>
      </c>
      <c r="O11" s="185">
        <v>20400.0</v>
      </c>
      <c r="P11" s="189">
        <v>0.046</v>
      </c>
      <c r="Q11" s="185">
        <v>22000.0</v>
      </c>
      <c r="R11" s="189">
        <v>0.046</v>
      </c>
      <c r="S11" s="187">
        <v>22500.0</v>
      </c>
      <c r="T11" s="189">
        <v>0.044</v>
      </c>
      <c r="U11" s="187">
        <v>22600.0</v>
      </c>
      <c r="V11" s="189">
        <v>0.047</v>
      </c>
      <c r="W11" s="187">
        <v>27500.0</v>
      </c>
      <c r="X11" s="189">
        <v>0.058</v>
      </c>
      <c r="Y11" s="187">
        <v>24200.0</v>
      </c>
      <c r="Z11" s="189">
        <v>0.056</v>
      </c>
      <c r="AA11" s="187">
        <v>23700.0</v>
      </c>
      <c r="AB11" s="189">
        <v>0.047</v>
      </c>
      <c r="AC11" s="187">
        <v>25519.0</v>
      </c>
      <c r="AD11" s="189">
        <v>0.052</v>
      </c>
      <c r="AE11" s="187">
        <v>23200.0</v>
      </c>
      <c r="AF11" s="189">
        <v>0.047</v>
      </c>
      <c r="AG11" s="187">
        <v>24600.0</v>
      </c>
      <c r="AH11" s="189">
        <v>0.05</v>
      </c>
      <c r="AI11" s="190">
        <v>22100.0</v>
      </c>
      <c r="AJ11" s="189">
        <v>0.045</v>
      </c>
      <c r="AK11" s="190">
        <v>22000.0</v>
      </c>
      <c r="AL11" s="189">
        <v>0.045</v>
      </c>
      <c r="AM11" s="191">
        <v>24100.0</v>
      </c>
      <c r="AN11" s="192">
        <f t="shared" si="1"/>
        <v>0.04768094523</v>
      </c>
      <c r="AO11" s="193">
        <v>22733.0</v>
      </c>
      <c r="AP11" s="194">
        <f t="shared" si="2"/>
        <v>0.04477071086</v>
      </c>
      <c r="AQ11" s="195">
        <v>30590.0</v>
      </c>
      <c r="AR11" s="196">
        <f t="shared" si="3"/>
        <v>0.04995297007</v>
      </c>
      <c r="AS11" s="197">
        <v>28150.0</v>
      </c>
      <c r="AT11" s="198">
        <f t="shared" si="4"/>
        <v>0.0521433414</v>
      </c>
      <c r="AU11" s="193">
        <v>26700.0</v>
      </c>
      <c r="AV11" s="194">
        <f t="shared" si="5"/>
        <v>0.04506892</v>
      </c>
      <c r="AW11" s="210">
        <f t="shared" si="6"/>
        <v>-0.05150976909</v>
      </c>
      <c r="AX11" s="195">
        <v>24218.0</v>
      </c>
      <c r="AY11" s="196">
        <f t="shared" si="7"/>
        <v>0.04784709792</v>
      </c>
      <c r="AZ11" s="200">
        <f t="shared" si="8"/>
        <v>-0.0929588015</v>
      </c>
      <c r="BA11" s="201">
        <v>26555.0</v>
      </c>
      <c r="BB11" s="202">
        <f t="shared" si="9"/>
        <v>0.04953413108</v>
      </c>
      <c r="BC11" s="203">
        <f t="shared" si="10"/>
        <v>0.09649847221</v>
      </c>
      <c r="BD11" s="204">
        <v>28600.0</v>
      </c>
      <c r="BE11" s="205">
        <f t="shared" si="11"/>
        <v>0.05036984854</v>
      </c>
      <c r="BF11" s="206">
        <f t="shared" si="12"/>
        <v>0.07700997929</v>
      </c>
      <c r="BG11" s="207" t="s">
        <v>84</v>
      </c>
      <c r="BH11" s="167"/>
    </row>
    <row r="12">
      <c r="A12" s="183">
        <v>10.0</v>
      </c>
      <c r="B12" s="184" t="s">
        <v>32</v>
      </c>
      <c r="C12" s="185">
        <v>40489.0</v>
      </c>
      <c r="D12" s="186">
        <v>0.094</v>
      </c>
      <c r="E12" s="187">
        <v>41000.0</v>
      </c>
      <c r="F12" s="188">
        <v>0.094</v>
      </c>
      <c r="G12" s="185">
        <v>41500.0</v>
      </c>
      <c r="H12" s="188">
        <v>0.092</v>
      </c>
      <c r="I12" s="185">
        <v>45106.0</v>
      </c>
      <c r="J12" s="188">
        <v>0.096</v>
      </c>
      <c r="K12" s="185">
        <v>37481.0</v>
      </c>
      <c r="L12" s="188">
        <v>0.083</v>
      </c>
      <c r="M12" s="185">
        <v>33400.0</v>
      </c>
      <c r="N12" s="189">
        <v>0.078</v>
      </c>
      <c r="O12" s="185">
        <v>32000.0</v>
      </c>
      <c r="P12" s="189">
        <v>0.072</v>
      </c>
      <c r="Q12" s="185">
        <v>35000.0</v>
      </c>
      <c r="R12" s="189">
        <v>0.073</v>
      </c>
      <c r="S12" s="187">
        <v>43000.0</v>
      </c>
      <c r="T12" s="189">
        <v>0.084</v>
      </c>
      <c r="U12" s="187">
        <v>40000.0</v>
      </c>
      <c r="V12" s="189">
        <v>0.082</v>
      </c>
      <c r="W12" s="187">
        <v>36000.0</v>
      </c>
      <c r="X12" s="189">
        <v>0.075</v>
      </c>
      <c r="Y12" s="187">
        <v>33500.0</v>
      </c>
      <c r="Z12" s="189">
        <v>0.078</v>
      </c>
      <c r="AA12" s="187">
        <v>38500.0</v>
      </c>
      <c r="AB12" s="189">
        <v>0.076</v>
      </c>
      <c r="AC12" s="187">
        <v>34300.0</v>
      </c>
      <c r="AD12" s="189">
        <v>0.071</v>
      </c>
      <c r="AE12" s="187">
        <v>33200.0</v>
      </c>
      <c r="AF12" s="189">
        <v>0.067</v>
      </c>
      <c r="AG12" s="187">
        <v>37400.0</v>
      </c>
      <c r="AH12" s="189">
        <v>0.076</v>
      </c>
      <c r="AI12" s="190">
        <v>36000.0</v>
      </c>
      <c r="AJ12" s="189">
        <v>0.073</v>
      </c>
      <c r="AK12" s="190">
        <v>35200.0</v>
      </c>
      <c r="AL12" s="189">
        <v>0.071</v>
      </c>
      <c r="AM12" s="191">
        <v>36800.0</v>
      </c>
      <c r="AN12" s="192">
        <f t="shared" si="1"/>
        <v>0.07280741844</v>
      </c>
      <c r="AO12" s="193">
        <v>35700.0</v>
      </c>
      <c r="AP12" s="194">
        <f t="shared" si="2"/>
        <v>0.07030811497</v>
      </c>
      <c r="AQ12" s="195">
        <v>32000.0</v>
      </c>
      <c r="AR12" s="196">
        <f t="shared" si="3"/>
        <v>0.05225547703</v>
      </c>
      <c r="AS12" s="197">
        <v>29800.0</v>
      </c>
      <c r="AT12" s="198">
        <f t="shared" si="4"/>
        <v>0.05519970066</v>
      </c>
      <c r="AU12" s="193">
        <v>30400.0</v>
      </c>
      <c r="AV12" s="194">
        <f t="shared" si="5"/>
        <v>0.05131442577</v>
      </c>
      <c r="AW12" s="199">
        <f t="shared" si="6"/>
        <v>0.02013422819</v>
      </c>
      <c r="AX12" s="195">
        <v>26144.0</v>
      </c>
      <c r="AY12" s="196">
        <f t="shared" si="7"/>
        <v>0.05165226394</v>
      </c>
      <c r="AZ12" s="200">
        <f t="shared" si="8"/>
        <v>-0.14</v>
      </c>
      <c r="BA12" s="201">
        <v>26800.0</v>
      </c>
      <c r="BB12" s="202">
        <f t="shared" si="9"/>
        <v>0.04999113963</v>
      </c>
      <c r="BC12" s="203">
        <f t="shared" si="10"/>
        <v>0.02509179927</v>
      </c>
      <c r="BD12" s="204">
        <v>27300.0</v>
      </c>
      <c r="BE12" s="205">
        <f t="shared" si="11"/>
        <v>0.04808030997</v>
      </c>
      <c r="BF12" s="206">
        <f t="shared" si="12"/>
        <v>0.01865671642</v>
      </c>
      <c r="BG12" s="207" t="s">
        <v>84</v>
      </c>
      <c r="BH12" s="167"/>
    </row>
    <row r="13">
      <c r="A13" s="183">
        <v>11.0</v>
      </c>
      <c r="B13" s="184" t="s">
        <v>36</v>
      </c>
      <c r="C13" s="185">
        <v>24200.0</v>
      </c>
      <c r="D13" s="186">
        <v>0.056</v>
      </c>
      <c r="E13" s="187">
        <v>23000.0</v>
      </c>
      <c r="F13" s="188">
        <v>0.053</v>
      </c>
      <c r="G13" s="185">
        <v>20000.0</v>
      </c>
      <c r="H13" s="188">
        <v>0.045</v>
      </c>
      <c r="I13" s="185">
        <v>17000.0</v>
      </c>
      <c r="J13" s="188">
        <v>0.036</v>
      </c>
      <c r="K13" s="185">
        <v>16000.0</v>
      </c>
      <c r="L13" s="188">
        <v>0.035</v>
      </c>
      <c r="M13" s="185">
        <v>17000.0</v>
      </c>
      <c r="N13" s="189">
        <v>0.04</v>
      </c>
      <c r="O13" s="185">
        <v>18600.0</v>
      </c>
      <c r="P13" s="189">
        <v>0.042</v>
      </c>
      <c r="Q13" s="185">
        <v>20400.0</v>
      </c>
      <c r="R13" s="189">
        <v>0.043</v>
      </c>
      <c r="S13" s="187">
        <v>21000.0</v>
      </c>
      <c r="T13" s="189">
        <v>0.041</v>
      </c>
      <c r="U13" s="187">
        <v>26000.0</v>
      </c>
      <c r="V13" s="189">
        <v>0.054</v>
      </c>
      <c r="W13" s="187">
        <v>28000.0</v>
      </c>
      <c r="X13" s="189">
        <v>0.059</v>
      </c>
      <c r="Y13" s="187">
        <v>24500.0</v>
      </c>
      <c r="Z13" s="189">
        <v>0.057</v>
      </c>
      <c r="AA13" s="187">
        <v>21800.0</v>
      </c>
      <c r="AB13" s="189">
        <v>0.043</v>
      </c>
      <c r="AC13" s="187">
        <v>22500.0</v>
      </c>
      <c r="AD13" s="189">
        <v>0.046</v>
      </c>
      <c r="AE13" s="187">
        <v>20560.0</v>
      </c>
      <c r="AF13" s="189">
        <v>0.042</v>
      </c>
      <c r="AG13" s="187">
        <v>21520.0</v>
      </c>
      <c r="AH13" s="189">
        <v>0.044</v>
      </c>
      <c r="AI13" s="190">
        <v>19300.0</v>
      </c>
      <c r="AJ13" s="189">
        <v>0.039</v>
      </c>
      <c r="AK13" s="190">
        <v>19200.0</v>
      </c>
      <c r="AL13" s="189">
        <v>0.039</v>
      </c>
      <c r="AM13" s="191">
        <v>17800.0</v>
      </c>
      <c r="AN13" s="192">
        <f t="shared" si="1"/>
        <v>0.03521663175</v>
      </c>
      <c r="AO13" s="193">
        <v>18767.0</v>
      </c>
      <c r="AP13" s="194">
        <f t="shared" si="2"/>
        <v>0.03696001103</v>
      </c>
      <c r="AQ13" s="195">
        <v>27950.0</v>
      </c>
      <c r="AR13" s="196">
        <f t="shared" si="3"/>
        <v>0.04564189322</v>
      </c>
      <c r="AS13" s="197">
        <v>24520.0</v>
      </c>
      <c r="AT13" s="198">
        <f t="shared" si="4"/>
        <v>0.04541935101</v>
      </c>
      <c r="AU13" s="193">
        <v>27910.0</v>
      </c>
      <c r="AV13" s="194">
        <f t="shared" si="5"/>
        <v>0.04711136918</v>
      </c>
      <c r="AW13" s="199">
        <f t="shared" si="6"/>
        <v>0.1382544861</v>
      </c>
      <c r="AX13" s="195">
        <v>22886.0</v>
      </c>
      <c r="AY13" s="196">
        <f t="shared" si="7"/>
        <v>0.04521548778</v>
      </c>
      <c r="AZ13" s="200">
        <f t="shared" si="8"/>
        <v>-0.1800071659</v>
      </c>
      <c r="BA13" s="201">
        <v>23400.0</v>
      </c>
      <c r="BB13" s="202">
        <f t="shared" si="9"/>
        <v>0.04364898012</v>
      </c>
      <c r="BC13" s="203">
        <f t="shared" si="10"/>
        <v>0.02245914533</v>
      </c>
      <c r="BD13" s="204">
        <v>24000.0</v>
      </c>
      <c r="BE13" s="205">
        <f t="shared" si="11"/>
        <v>0.04226840437</v>
      </c>
      <c r="BF13" s="206">
        <f t="shared" si="12"/>
        <v>0.02564102564</v>
      </c>
      <c r="BG13" s="211"/>
      <c r="BH13" s="167"/>
    </row>
    <row r="14">
      <c r="A14" s="183">
        <v>12.0</v>
      </c>
      <c r="B14" s="184" t="s">
        <v>39</v>
      </c>
      <c r="C14" s="185">
        <v>12000.0</v>
      </c>
      <c r="D14" s="186">
        <v>0.028</v>
      </c>
      <c r="E14" s="187">
        <v>12500.0</v>
      </c>
      <c r="F14" s="188">
        <v>0.029</v>
      </c>
      <c r="G14" s="185">
        <v>13000.0</v>
      </c>
      <c r="H14" s="188">
        <v>0.029</v>
      </c>
      <c r="I14" s="185">
        <v>10000.0</v>
      </c>
      <c r="J14" s="188">
        <v>0.021</v>
      </c>
      <c r="K14" s="185">
        <v>11000.0</v>
      </c>
      <c r="L14" s="188">
        <v>0.024</v>
      </c>
      <c r="M14" s="185">
        <v>10000.0</v>
      </c>
      <c r="N14" s="189">
        <v>0.023</v>
      </c>
      <c r="O14" s="185">
        <v>8500.0</v>
      </c>
      <c r="P14" s="189">
        <v>0.019</v>
      </c>
      <c r="Q14" s="185">
        <v>7500.0</v>
      </c>
      <c r="R14" s="189">
        <v>0.016</v>
      </c>
      <c r="S14" s="187">
        <v>8100.0</v>
      </c>
      <c r="T14" s="189">
        <v>0.016</v>
      </c>
      <c r="U14" s="187">
        <v>9100.0</v>
      </c>
      <c r="V14" s="189">
        <v>0.019</v>
      </c>
      <c r="W14" s="187">
        <v>8700.0</v>
      </c>
      <c r="X14" s="189">
        <v>0.018</v>
      </c>
      <c r="Y14" s="187">
        <v>8400.0</v>
      </c>
      <c r="Z14" s="189">
        <v>0.019</v>
      </c>
      <c r="AA14" s="187">
        <v>12642.0</v>
      </c>
      <c r="AB14" s="189">
        <v>0.025</v>
      </c>
      <c r="AC14" s="187">
        <v>11600.0</v>
      </c>
      <c r="AD14" s="189">
        <v>0.024</v>
      </c>
      <c r="AE14" s="187">
        <v>12593.0</v>
      </c>
      <c r="AF14" s="189">
        <v>0.025</v>
      </c>
      <c r="AG14" s="187">
        <v>11900.0</v>
      </c>
      <c r="AH14" s="189">
        <v>0.024</v>
      </c>
      <c r="AI14" s="190">
        <v>11000.0</v>
      </c>
      <c r="AJ14" s="189">
        <v>0.022</v>
      </c>
      <c r="AK14" s="190">
        <v>12000.0</v>
      </c>
      <c r="AL14" s="189">
        <v>0.024</v>
      </c>
      <c r="AM14" s="191">
        <v>14500.0</v>
      </c>
      <c r="AN14" s="192">
        <f t="shared" si="1"/>
        <v>0.02868770564</v>
      </c>
      <c r="AO14" s="193">
        <v>12500.0</v>
      </c>
      <c r="AP14" s="194">
        <f t="shared" si="2"/>
        <v>0.02461768732</v>
      </c>
      <c r="AQ14" s="195">
        <v>21000.0</v>
      </c>
      <c r="AR14" s="196">
        <f t="shared" si="3"/>
        <v>0.0342926568</v>
      </c>
      <c r="AS14" s="197">
        <v>18900.0</v>
      </c>
      <c r="AT14" s="198">
        <f t="shared" si="4"/>
        <v>0.03500920612</v>
      </c>
      <c r="AU14" s="193">
        <v>20500.0</v>
      </c>
      <c r="AV14" s="194">
        <f t="shared" si="5"/>
        <v>0.0346034779</v>
      </c>
      <c r="AW14" s="199">
        <f t="shared" si="6"/>
        <v>0.08465608466</v>
      </c>
      <c r="AX14" s="195">
        <v>15770.0</v>
      </c>
      <c r="AY14" s="196">
        <f t="shared" si="7"/>
        <v>0.03115652548</v>
      </c>
      <c r="AZ14" s="200">
        <f t="shared" si="8"/>
        <v>-0.2307317073</v>
      </c>
      <c r="BA14" s="201">
        <v>19200.0</v>
      </c>
      <c r="BB14" s="202">
        <f t="shared" si="9"/>
        <v>0.03581454779</v>
      </c>
      <c r="BC14" s="203">
        <f t="shared" si="10"/>
        <v>0.2175015853</v>
      </c>
      <c r="BD14" s="204">
        <v>19000.0</v>
      </c>
      <c r="BE14" s="205">
        <f t="shared" si="11"/>
        <v>0.03346248679</v>
      </c>
      <c r="BF14" s="206">
        <f t="shared" si="12"/>
        <v>-0.01041666667</v>
      </c>
      <c r="BG14" s="207" t="s">
        <v>84</v>
      </c>
      <c r="BH14" s="167"/>
    </row>
    <row r="15">
      <c r="A15" s="183">
        <v>13.0</v>
      </c>
      <c r="B15" s="184" t="s">
        <v>43</v>
      </c>
      <c r="C15" s="185">
        <v>9197.0</v>
      </c>
      <c r="D15" s="186">
        <v>0.021</v>
      </c>
      <c r="E15" s="187">
        <v>10609.0</v>
      </c>
      <c r="F15" s="188">
        <v>0.024</v>
      </c>
      <c r="G15" s="185">
        <v>10407.0</v>
      </c>
      <c r="H15" s="188">
        <v>0.023</v>
      </c>
      <c r="I15" s="185">
        <v>12181.0</v>
      </c>
      <c r="J15" s="188">
        <v>0.026</v>
      </c>
      <c r="K15" s="185">
        <v>12402.0</v>
      </c>
      <c r="L15" s="188">
        <v>0.027</v>
      </c>
      <c r="M15" s="185">
        <v>7620.0</v>
      </c>
      <c r="N15" s="189">
        <v>0.018</v>
      </c>
      <c r="O15" s="185">
        <v>11145.0</v>
      </c>
      <c r="P15" s="189">
        <v>0.025</v>
      </c>
      <c r="Q15" s="185">
        <v>11075.0</v>
      </c>
      <c r="R15" s="189">
        <v>0.023</v>
      </c>
      <c r="S15" s="187">
        <v>12154.0</v>
      </c>
      <c r="T15" s="189">
        <v>0.024</v>
      </c>
      <c r="U15" s="187">
        <v>12267.0</v>
      </c>
      <c r="V15" s="189">
        <v>0.025</v>
      </c>
      <c r="W15" s="187">
        <v>12690.0</v>
      </c>
      <c r="X15" s="189">
        <v>0.027</v>
      </c>
      <c r="Y15" s="187">
        <v>12360.0</v>
      </c>
      <c r="Z15" s="189">
        <v>0.029</v>
      </c>
      <c r="AA15" s="187">
        <v>14257.0</v>
      </c>
      <c r="AB15" s="189">
        <v>0.028</v>
      </c>
      <c r="AC15" s="187">
        <v>14208.0</v>
      </c>
      <c r="AD15" s="189">
        <v>0.029</v>
      </c>
      <c r="AE15" s="187">
        <v>15255.0</v>
      </c>
      <c r="AF15" s="189">
        <v>0.031</v>
      </c>
      <c r="AG15" s="187">
        <v>16527.0</v>
      </c>
      <c r="AH15" s="189">
        <v>0.033</v>
      </c>
      <c r="AI15" s="190">
        <v>15201.0</v>
      </c>
      <c r="AJ15" s="189">
        <v>0.031</v>
      </c>
      <c r="AK15" s="190">
        <v>12622.0</v>
      </c>
      <c r="AL15" s="189">
        <v>0.026</v>
      </c>
      <c r="AM15" s="191">
        <v>14842.0</v>
      </c>
      <c r="AN15" s="192">
        <f t="shared" si="1"/>
        <v>0.0293643398</v>
      </c>
      <c r="AO15" s="193">
        <v>15356.0</v>
      </c>
      <c r="AP15" s="194">
        <f t="shared" si="2"/>
        <v>0.03024233651</v>
      </c>
      <c r="AQ15" s="195">
        <v>17356.0</v>
      </c>
      <c r="AR15" s="196">
        <f t="shared" si="3"/>
        <v>0.02834206435</v>
      </c>
      <c r="AS15" s="197">
        <v>15747.0</v>
      </c>
      <c r="AT15" s="198">
        <f t="shared" si="4"/>
        <v>0.02916878142</v>
      </c>
      <c r="AU15" s="193">
        <v>15504.0</v>
      </c>
      <c r="AV15" s="194">
        <f t="shared" si="5"/>
        <v>0.02617035714</v>
      </c>
      <c r="AW15" s="210">
        <f t="shared" si="6"/>
        <v>-0.01543151076</v>
      </c>
      <c r="AX15" s="195">
        <v>14742.0</v>
      </c>
      <c r="AY15" s="196">
        <f t="shared" si="7"/>
        <v>0.02912552306</v>
      </c>
      <c r="AZ15" s="200">
        <f t="shared" si="8"/>
        <v>-0.04914860681</v>
      </c>
      <c r="BA15" s="201">
        <v>15978.0</v>
      </c>
      <c r="BB15" s="202">
        <f t="shared" si="9"/>
        <v>0.02980441899</v>
      </c>
      <c r="BC15" s="203">
        <f t="shared" si="10"/>
        <v>0.08384208384</v>
      </c>
      <c r="BD15" s="204">
        <v>17495.0</v>
      </c>
      <c r="BE15" s="205">
        <f t="shared" si="11"/>
        <v>0.0308119056</v>
      </c>
      <c r="BF15" s="206">
        <f t="shared" si="12"/>
        <v>0.09494304669</v>
      </c>
      <c r="BG15" s="207" t="s">
        <v>84</v>
      </c>
      <c r="BH15" s="167"/>
    </row>
    <row r="16">
      <c r="A16" s="183">
        <v>14.0</v>
      </c>
      <c r="B16" s="184" t="s">
        <v>44</v>
      </c>
      <c r="C16" s="185">
        <v>6000.0</v>
      </c>
      <c r="D16" s="186">
        <v>0.014</v>
      </c>
      <c r="E16" s="187">
        <v>8000.0</v>
      </c>
      <c r="F16" s="188">
        <v>0.018</v>
      </c>
      <c r="G16" s="185">
        <v>12000.0</v>
      </c>
      <c r="H16" s="188">
        <v>0.027</v>
      </c>
      <c r="I16" s="185">
        <v>12000.0</v>
      </c>
      <c r="J16" s="188">
        <v>0.025</v>
      </c>
      <c r="K16" s="185">
        <v>11000.0</v>
      </c>
      <c r="L16" s="188">
        <v>0.024</v>
      </c>
      <c r="M16" s="185">
        <v>9000.0</v>
      </c>
      <c r="N16" s="189">
        <v>0.021</v>
      </c>
      <c r="O16" s="185">
        <v>7700.0</v>
      </c>
      <c r="P16" s="189">
        <v>0.017</v>
      </c>
      <c r="Q16" s="185">
        <v>7500.0</v>
      </c>
      <c r="R16" s="189">
        <v>0.016</v>
      </c>
      <c r="S16" s="187">
        <v>7330.0</v>
      </c>
      <c r="T16" s="189">
        <v>0.014</v>
      </c>
      <c r="U16" s="187">
        <v>7650.0</v>
      </c>
      <c r="V16" s="189">
        <v>0.016</v>
      </c>
      <c r="W16" s="187">
        <v>7700.0</v>
      </c>
      <c r="X16" s="189">
        <v>0.016</v>
      </c>
      <c r="Y16" s="187">
        <v>7100.0</v>
      </c>
      <c r="Z16" s="189">
        <v>0.016</v>
      </c>
      <c r="AA16" s="187">
        <v>7450.0</v>
      </c>
      <c r="AB16" s="189">
        <v>0.015</v>
      </c>
      <c r="AC16" s="187">
        <v>7100.0</v>
      </c>
      <c r="AD16" s="189">
        <v>0.015</v>
      </c>
      <c r="AE16" s="187">
        <v>6850.0</v>
      </c>
      <c r="AF16" s="189">
        <v>0.014</v>
      </c>
      <c r="AG16" s="187">
        <v>6400.0</v>
      </c>
      <c r="AH16" s="189">
        <v>0.013</v>
      </c>
      <c r="AI16" s="190">
        <v>6200.0</v>
      </c>
      <c r="AJ16" s="189">
        <v>0.013</v>
      </c>
      <c r="AK16" s="190">
        <v>5950.0</v>
      </c>
      <c r="AL16" s="189">
        <v>0.012</v>
      </c>
      <c r="AM16" s="191">
        <v>6200.0</v>
      </c>
      <c r="AN16" s="192">
        <f t="shared" si="1"/>
        <v>0.01226646724</v>
      </c>
      <c r="AO16" s="193">
        <v>6117.0</v>
      </c>
      <c r="AP16" s="194">
        <f t="shared" si="2"/>
        <v>0.01204691146</v>
      </c>
      <c r="AQ16" s="195">
        <v>8600.0</v>
      </c>
      <c r="AR16" s="196">
        <f t="shared" si="3"/>
        <v>0.01404365945</v>
      </c>
      <c r="AS16" s="197">
        <v>7998.0</v>
      </c>
      <c r="AT16" s="198">
        <f t="shared" si="4"/>
        <v>0.01481500691</v>
      </c>
      <c r="AU16" s="193">
        <v>8760.0</v>
      </c>
      <c r="AV16" s="194">
        <f t="shared" si="5"/>
        <v>0.0147866569</v>
      </c>
      <c r="AW16" s="199">
        <f t="shared" si="6"/>
        <v>0.09527381845</v>
      </c>
      <c r="AX16" s="195">
        <v>8150.0</v>
      </c>
      <c r="AY16" s="196">
        <f t="shared" si="7"/>
        <v>0.01610181881</v>
      </c>
      <c r="AZ16" s="200">
        <f t="shared" si="8"/>
        <v>-0.0696347032</v>
      </c>
      <c r="BA16" s="201">
        <v>10500.0</v>
      </c>
      <c r="BB16" s="202">
        <f t="shared" si="9"/>
        <v>0.01958608083</v>
      </c>
      <c r="BC16" s="203">
        <f t="shared" si="10"/>
        <v>0.2883435583</v>
      </c>
      <c r="BD16" s="204">
        <v>11700.0</v>
      </c>
      <c r="BE16" s="205">
        <f t="shared" si="11"/>
        <v>0.02060584713</v>
      </c>
      <c r="BF16" s="206">
        <f t="shared" si="12"/>
        <v>0.1142857143</v>
      </c>
      <c r="BG16" s="207" t="s">
        <v>84</v>
      </c>
      <c r="BH16" s="167"/>
    </row>
    <row r="17">
      <c r="A17" s="183">
        <v>15.0</v>
      </c>
      <c r="B17" s="184" t="s">
        <v>42</v>
      </c>
      <c r="C17" s="185">
        <v>11000.0</v>
      </c>
      <c r="D17" s="186">
        <v>0.025</v>
      </c>
      <c r="E17" s="187">
        <v>13000.0</v>
      </c>
      <c r="F17" s="188">
        <v>0.03</v>
      </c>
      <c r="G17" s="185">
        <v>18000.0</v>
      </c>
      <c r="H17" s="188">
        <v>0.04</v>
      </c>
      <c r="I17" s="185">
        <v>16000.0</v>
      </c>
      <c r="J17" s="188">
        <v>0.034</v>
      </c>
      <c r="K17" s="185">
        <v>13000.0</v>
      </c>
      <c r="L17" s="188">
        <v>0.029</v>
      </c>
      <c r="M17" s="185">
        <v>11000.0</v>
      </c>
      <c r="N17" s="189">
        <v>0.026</v>
      </c>
      <c r="O17" s="185">
        <v>11500.0</v>
      </c>
      <c r="P17" s="189">
        <v>0.026</v>
      </c>
      <c r="Q17" s="185">
        <v>15000.0</v>
      </c>
      <c r="R17" s="189">
        <v>0.031</v>
      </c>
      <c r="S17" s="187">
        <v>14000.0</v>
      </c>
      <c r="T17" s="189">
        <v>0.027</v>
      </c>
      <c r="U17" s="187">
        <v>12500.0</v>
      </c>
      <c r="V17" s="189">
        <v>0.026</v>
      </c>
      <c r="W17" s="187">
        <v>12000.0</v>
      </c>
      <c r="X17" s="189">
        <v>0.025</v>
      </c>
      <c r="Y17" s="187">
        <v>11500.0</v>
      </c>
      <c r="Z17" s="189">
        <v>0.027</v>
      </c>
      <c r="AA17" s="187">
        <v>12000.0</v>
      </c>
      <c r="AB17" s="189">
        <v>0.024</v>
      </c>
      <c r="AC17" s="187">
        <v>12500.0</v>
      </c>
      <c r="AD17" s="189">
        <v>0.026</v>
      </c>
      <c r="AE17" s="187">
        <v>12300.0</v>
      </c>
      <c r="AF17" s="189">
        <v>0.025</v>
      </c>
      <c r="AG17" s="187">
        <v>13000.0</v>
      </c>
      <c r="AH17" s="189">
        <v>0.026</v>
      </c>
      <c r="AI17" s="190">
        <v>11480.0</v>
      </c>
      <c r="AJ17" s="189">
        <v>0.023</v>
      </c>
      <c r="AK17" s="190">
        <v>10200.0</v>
      </c>
      <c r="AL17" s="189">
        <v>0.021</v>
      </c>
      <c r="AM17" s="191">
        <v>7000.0</v>
      </c>
      <c r="AN17" s="192">
        <f t="shared" si="1"/>
        <v>0.0138492372</v>
      </c>
      <c r="AO17" s="193">
        <v>9560.0</v>
      </c>
      <c r="AP17" s="194">
        <f t="shared" si="2"/>
        <v>0.01882760726</v>
      </c>
      <c r="AQ17" s="195">
        <v>9860.0</v>
      </c>
      <c r="AR17" s="196">
        <f t="shared" si="3"/>
        <v>0.01610121886</v>
      </c>
      <c r="AS17" s="197">
        <v>9071.0</v>
      </c>
      <c r="AT17" s="198">
        <f t="shared" si="4"/>
        <v>0.0168025666</v>
      </c>
      <c r="AU17" s="193">
        <v>10680.0</v>
      </c>
      <c r="AV17" s="194">
        <f t="shared" si="5"/>
        <v>0.018027568</v>
      </c>
      <c r="AW17" s="199">
        <f t="shared" si="6"/>
        <v>0.1773784588</v>
      </c>
      <c r="AX17" s="195">
        <v>9826.0</v>
      </c>
      <c r="AY17" s="196">
        <f t="shared" si="7"/>
        <v>0.01941306401</v>
      </c>
      <c r="AZ17" s="200">
        <f t="shared" si="8"/>
        <v>-0.07996254682</v>
      </c>
      <c r="BA17" s="201">
        <v>10200.0</v>
      </c>
      <c r="BB17" s="202">
        <f t="shared" si="9"/>
        <v>0.01902647852</v>
      </c>
      <c r="BC17" s="203">
        <f t="shared" si="10"/>
        <v>0.03806228374</v>
      </c>
      <c r="BD17" s="204">
        <v>11300.0</v>
      </c>
      <c r="BE17" s="205">
        <f t="shared" si="11"/>
        <v>0.01990137372</v>
      </c>
      <c r="BF17" s="206">
        <f t="shared" si="12"/>
        <v>0.1078431373</v>
      </c>
      <c r="BG17" s="211"/>
      <c r="BH17" s="167"/>
    </row>
    <row r="18">
      <c r="A18" s="183">
        <v>16.0</v>
      </c>
      <c r="B18" s="212" t="s">
        <v>85</v>
      </c>
      <c r="C18" s="213"/>
      <c r="D18" s="213"/>
      <c r="E18" s="213"/>
      <c r="F18" s="214"/>
      <c r="G18" s="213"/>
      <c r="H18" s="214"/>
      <c r="I18" s="213"/>
      <c r="J18" s="214"/>
      <c r="K18" s="213"/>
      <c r="L18" s="214"/>
      <c r="M18" s="213"/>
      <c r="N18" s="215"/>
      <c r="O18" s="213"/>
      <c r="P18" s="215"/>
      <c r="Q18" s="213"/>
      <c r="R18" s="215"/>
      <c r="S18" s="213"/>
      <c r="T18" s="215"/>
      <c r="U18" s="213"/>
      <c r="V18" s="215"/>
      <c r="W18" s="213"/>
      <c r="X18" s="215"/>
      <c r="Y18" s="213"/>
      <c r="Z18" s="215"/>
      <c r="AA18" s="213"/>
      <c r="AB18" s="215"/>
      <c r="AC18" s="213"/>
      <c r="AD18" s="215"/>
      <c r="AE18" s="213"/>
      <c r="AF18" s="215"/>
      <c r="AG18" s="213"/>
      <c r="AH18" s="215"/>
      <c r="AI18" s="215"/>
      <c r="AJ18" s="215"/>
      <c r="AK18" s="215"/>
      <c r="AL18" s="215"/>
      <c r="AM18" s="216">
        <v>1201.0</v>
      </c>
      <c r="AN18" s="192">
        <f t="shared" si="1"/>
        <v>0.002376133412</v>
      </c>
      <c r="AO18" s="217">
        <v>2049.0</v>
      </c>
      <c r="AP18" s="194">
        <f t="shared" si="2"/>
        <v>0.004035331305</v>
      </c>
      <c r="AQ18" s="218">
        <v>4186.0</v>
      </c>
      <c r="AR18" s="219">
        <f t="shared" si="3"/>
        <v>0.006835669589</v>
      </c>
      <c r="AS18" s="220">
        <v>5297.0</v>
      </c>
      <c r="AT18" s="221">
        <f t="shared" si="4"/>
        <v>0.00981183941</v>
      </c>
      <c r="AU18" s="217">
        <v>7028.0</v>
      </c>
      <c r="AV18" s="222">
        <f t="shared" si="5"/>
        <v>0.01186308501</v>
      </c>
      <c r="AW18" s="199">
        <f t="shared" si="6"/>
        <v>0.3267887483</v>
      </c>
      <c r="AX18" s="218">
        <v>7208.0</v>
      </c>
      <c r="AY18" s="219">
        <f t="shared" si="7"/>
        <v>0.01424072515</v>
      </c>
      <c r="AZ18" s="223">
        <f t="shared" si="8"/>
        <v>0.02561183836</v>
      </c>
      <c r="BA18" s="224">
        <v>8371.0</v>
      </c>
      <c r="BB18" s="225">
        <f t="shared" si="9"/>
        <v>0.01561476977</v>
      </c>
      <c r="BC18" s="226">
        <f t="shared" si="10"/>
        <v>0.1613485017</v>
      </c>
      <c r="BD18" s="227">
        <v>10240.0</v>
      </c>
      <c r="BE18" s="228">
        <f t="shared" si="11"/>
        <v>0.0180345192</v>
      </c>
      <c r="BF18" s="229">
        <f t="shared" si="12"/>
        <v>0.2232708159</v>
      </c>
      <c r="BG18" s="230"/>
      <c r="BH18" s="231"/>
    </row>
    <row r="19">
      <c r="A19" s="183">
        <v>17.0</v>
      </c>
      <c r="B19" s="184" t="s">
        <v>41</v>
      </c>
      <c r="C19" s="185">
        <v>7000.0</v>
      </c>
      <c r="D19" s="186">
        <v>0.016</v>
      </c>
      <c r="E19" s="187">
        <v>13000.0</v>
      </c>
      <c r="F19" s="188">
        <v>0.03</v>
      </c>
      <c r="G19" s="185">
        <v>10000.0</v>
      </c>
      <c r="H19" s="188">
        <v>0.022</v>
      </c>
      <c r="I19" s="185">
        <v>10000.0</v>
      </c>
      <c r="J19" s="188">
        <v>0.021</v>
      </c>
      <c r="K19" s="185">
        <v>8000.0</v>
      </c>
      <c r="L19" s="188">
        <v>0.018</v>
      </c>
      <c r="M19" s="185">
        <v>7500.0</v>
      </c>
      <c r="N19" s="189">
        <v>0.018</v>
      </c>
      <c r="O19" s="185">
        <v>9500.0</v>
      </c>
      <c r="P19" s="189">
        <v>0.021</v>
      </c>
      <c r="Q19" s="185">
        <v>11000.0</v>
      </c>
      <c r="R19" s="189">
        <v>0.023</v>
      </c>
      <c r="S19" s="187">
        <v>11750.0</v>
      </c>
      <c r="T19" s="189">
        <v>0.023</v>
      </c>
      <c r="U19" s="187">
        <v>12900.0</v>
      </c>
      <c r="V19" s="189">
        <v>0.027</v>
      </c>
      <c r="W19" s="187">
        <v>12500.0</v>
      </c>
      <c r="X19" s="189">
        <v>0.026</v>
      </c>
      <c r="Y19" s="187">
        <v>13500.0</v>
      </c>
      <c r="Z19" s="189">
        <v>0.031</v>
      </c>
      <c r="AA19" s="187">
        <v>11400.0</v>
      </c>
      <c r="AB19" s="189">
        <v>0.023</v>
      </c>
      <c r="AC19" s="187">
        <v>12000.0</v>
      </c>
      <c r="AD19" s="189">
        <v>0.025</v>
      </c>
      <c r="AE19" s="187">
        <v>12800.0</v>
      </c>
      <c r="AF19" s="189">
        <v>0.026</v>
      </c>
      <c r="AG19" s="187">
        <v>13500.0</v>
      </c>
      <c r="AH19" s="189">
        <v>0.027</v>
      </c>
      <c r="AI19" s="190">
        <v>12400.0</v>
      </c>
      <c r="AJ19" s="189">
        <v>0.025</v>
      </c>
      <c r="AK19" s="190">
        <v>11500.0</v>
      </c>
      <c r="AL19" s="189">
        <v>0.023</v>
      </c>
      <c r="AM19" s="191">
        <v>8500.0</v>
      </c>
      <c r="AN19" s="192">
        <f t="shared" si="1"/>
        <v>0.01681693089</v>
      </c>
      <c r="AO19" s="193">
        <v>10800.0</v>
      </c>
      <c r="AP19" s="194">
        <f t="shared" si="2"/>
        <v>0.02126968184</v>
      </c>
      <c r="AQ19" s="195">
        <v>7120.0</v>
      </c>
      <c r="AR19" s="196">
        <f t="shared" si="3"/>
        <v>0.01162684364</v>
      </c>
      <c r="AS19" s="197">
        <v>6520.0</v>
      </c>
      <c r="AT19" s="198">
        <f t="shared" si="4"/>
        <v>0.01207724994</v>
      </c>
      <c r="AU19" s="193">
        <v>8960.0</v>
      </c>
      <c r="AV19" s="194">
        <f t="shared" si="5"/>
        <v>0.01512425181</v>
      </c>
      <c r="AW19" s="199">
        <f t="shared" si="6"/>
        <v>0.3742331288</v>
      </c>
      <c r="AX19" s="195">
        <v>8100.0</v>
      </c>
      <c r="AY19" s="196">
        <f t="shared" si="7"/>
        <v>0.01600303465</v>
      </c>
      <c r="AZ19" s="200">
        <f t="shared" si="8"/>
        <v>-0.09598214286</v>
      </c>
      <c r="BA19" s="201">
        <v>9300.0</v>
      </c>
      <c r="BB19" s="202">
        <f t="shared" si="9"/>
        <v>0.01734767159</v>
      </c>
      <c r="BC19" s="203">
        <f t="shared" si="10"/>
        <v>0.1481481481</v>
      </c>
      <c r="BD19" s="204">
        <v>10200.0</v>
      </c>
      <c r="BE19" s="205">
        <f t="shared" si="11"/>
        <v>0.01796407186</v>
      </c>
      <c r="BF19" s="206">
        <f t="shared" si="12"/>
        <v>0.09677419355</v>
      </c>
      <c r="BG19" s="207" t="s">
        <v>84</v>
      </c>
      <c r="BH19" s="167"/>
    </row>
    <row r="20">
      <c r="A20" s="183">
        <v>18.0</v>
      </c>
      <c r="B20" s="184" t="s">
        <v>37</v>
      </c>
      <c r="C20" s="185">
        <v>6000.0</v>
      </c>
      <c r="D20" s="186">
        <v>0.014</v>
      </c>
      <c r="E20" s="187">
        <v>6000.0</v>
      </c>
      <c r="F20" s="188">
        <v>0.014</v>
      </c>
      <c r="G20" s="185">
        <v>8000.0</v>
      </c>
      <c r="H20" s="188">
        <v>0.018</v>
      </c>
      <c r="I20" s="185">
        <v>10000.0</v>
      </c>
      <c r="J20" s="188">
        <v>0.021</v>
      </c>
      <c r="K20" s="185">
        <v>8000.0</v>
      </c>
      <c r="L20" s="188">
        <v>0.018</v>
      </c>
      <c r="M20" s="185">
        <v>7500.0</v>
      </c>
      <c r="N20" s="189">
        <v>0.018</v>
      </c>
      <c r="O20" s="185">
        <v>8500.0</v>
      </c>
      <c r="P20" s="189">
        <v>0.019</v>
      </c>
      <c r="Q20" s="185">
        <v>8000.0</v>
      </c>
      <c r="R20" s="189">
        <v>0.017</v>
      </c>
      <c r="S20" s="187">
        <v>8750.0</v>
      </c>
      <c r="T20" s="189">
        <v>0.017</v>
      </c>
      <c r="U20" s="187">
        <v>8100.0</v>
      </c>
      <c r="V20" s="189">
        <v>0.017</v>
      </c>
      <c r="W20" s="187">
        <v>9000.0</v>
      </c>
      <c r="X20" s="189">
        <v>0.019</v>
      </c>
      <c r="Y20" s="187">
        <v>8650.0</v>
      </c>
      <c r="Z20" s="189">
        <v>0.02</v>
      </c>
      <c r="AA20" s="187">
        <v>6600.0</v>
      </c>
      <c r="AB20" s="189">
        <v>0.013</v>
      </c>
      <c r="AC20" s="187">
        <v>7000.0</v>
      </c>
      <c r="AD20" s="189">
        <v>0.014</v>
      </c>
      <c r="AE20" s="187">
        <v>6415.0</v>
      </c>
      <c r="AF20" s="189">
        <v>0.013</v>
      </c>
      <c r="AG20" s="187">
        <v>9480.0</v>
      </c>
      <c r="AH20" s="189">
        <v>0.019</v>
      </c>
      <c r="AI20" s="190">
        <v>9000.0</v>
      </c>
      <c r="AJ20" s="189">
        <v>0.018</v>
      </c>
      <c r="AK20" s="190">
        <v>9200.0</v>
      </c>
      <c r="AL20" s="189">
        <v>0.019</v>
      </c>
      <c r="AM20" s="191">
        <v>8500.0</v>
      </c>
      <c r="AN20" s="192">
        <f t="shared" si="1"/>
        <v>0.01681693089</v>
      </c>
      <c r="AO20" s="193">
        <v>8900.0</v>
      </c>
      <c r="AP20" s="194">
        <f t="shared" si="2"/>
        <v>0.01752779337</v>
      </c>
      <c r="AQ20" s="195">
        <v>16000.0</v>
      </c>
      <c r="AR20" s="196">
        <f t="shared" si="3"/>
        <v>0.02612773851</v>
      </c>
      <c r="AS20" s="197">
        <v>14720.0</v>
      </c>
      <c r="AT20" s="198">
        <f t="shared" si="4"/>
        <v>0.02726642932</v>
      </c>
      <c r="AU20" s="193">
        <v>12520.0</v>
      </c>
      <c r="AV20" s="194">
        <f t="shared" si="5"/>
        <v>0.02113344114</v>
      </c>
      <c r="AW20" s="210">
        <f t="shared" si="6"/>
        <v>-0.1494565217</v>
      </c>
      <c r="AX20" s="195">
        <v>10266.0</v>
      </c>
      <c r="AY20" s="196">
        <f t="shared" si="7"/>
        <v>0.02028236466</v>
      </c>
      <c r="AZ20" s="200">
        <f t="shared" si="8"/>
        <v>-0.1800319489</v>
      </c>
      <c r="BA20" s="201">
        <v>9800.0</v>
      </c>
      <c r="BB20" s="202">
        <f t="shared" si="9"/>
        <v>0.0182803421</v>
      </c>
      <c r="BC20" s="208">
        <f t="shared" si="10"/>
        <v>-0.04539255796</v>
      </c>
      <c r="BD20" s="204">
        <v>9100.0</v>
      </c>
      <c r="BE20" s="205">
        <f t="shared" si="11"/>
        <v>0.01602676999</v>
      </c>
      <c r="BF20" s="209">
        <f t="shared" si="12"/>
        <v>-0.07142857143</v>
      </c>
      <c r="BG20" s="207" t="s">
        <v>84</v>
      </c>
      <c r="BH20" s="167"/>
    </row>
    <row r="21">
      <c r="A21" s="183">
        <v>19.0</v>
      </c>
      <c r="B21" s="184" t="s">
        <v>45</v>
      </c>
      <c r="C21" s="185">
        <v>6000.0</v>
      </c>
      <c r="D21" s="186">
        <v>0.014</v>
      </c>
      <c r="E21" s="187">
        <v>7000.0</v>
      </c>
      <c r="F21" s="188">
        <v>0.016</v>
      </c>
      <c r="G21" s="185">
        <v>8500.0</v>
      </c>
      <c r="H21" s="188">
        <v>0.019</v>
      </c>
      <c r="I21" s="185">
        <v>8000.0</v>
      </c>
      <c r="J21" s="188">
        <v>0.017</v>
      </c>
      <c r="K21" s="185">
        <v>6000.0</v>
      </c>
      <c r="L21" s="188">
        <v>0.013</v>
      </c>
      <c r="M21" s="185">
        <v>5500.0</v>
      </c>
      <c r="N21" s="189">
        <v>0.013</v>
      </c>
      <c r="O21" s="185">
        <v>5200.0</v>
      </c>
      <c r="P21" s="189">
        <v>0.012</v>
      </c>
      <c r="Q21" s="185">
        <v>4800.0</v>
      </c>
      <c r="R21" s="189">
        <v>0.01</v>
      </c>
      <c r="S21" s="187">
        <v>4550.0</v>
      </c>
      <c r="T21" s="189">
        <v>0.009</v>
      </c>
      <c r="U21" s="187">
        <v>4000.0</v>
      </c>
      <c r="V21" s="189">
        <v>0.008</v>
      </c>
      <c r="W21" s="187">
        <v>4100.0</v>
      </c>
      <c r="X21" s="189">
        <v>0.009</v>
      </c>
      <c r="Y21" s="187">
        <v>3650.0</v>
      </c>
      <c r="Z21" s="189">
        <v>0.008</v>
      </c>
      <c r="AA21" s="187">
        <v>3400.0</v>
      </c>
      <c r="AB21" s="189">
        <v>0.007</v>
      </c>
      <c r="AC21" s="187">
        <v>3100.0</v>
      </c>
      <c r="AD21" s="189">
        <v>0.006</v>
      </c>
      <c r="AE21" s="187">
        <v>3250.0</v>
      </c>
      <c r="AF21" s="189">
        <v>0.007</v>
      </c>
      <c r="AG21" s="187">
        <v>3000.0</v>
      </c>
      <c r="AH21" s="189">
        <v>0.006</v>
      </c>
      <c r="AI21" s="190">
        <v>3100.0</v>
      </c>
      <c r="AJ21" s="189">
        <v>0.006</v>
      </c>
      <c r="AK21" s="190">
        <v>3500.0</v>
      </c>
      <c r="AL21" s="189">
        <v>0.007</v>
      </c>
      <c r="AM21" s="191">
        <v>3200.0</v>
      </c>
      <c r="AN21" s="192">
        <f t="shared" si="1"/>
        <v>0.006331079865</v>
      </c>
      <c r="AO21" s="193">
        <v>3267.0</v>
      </c>
      <c r="AP21" s="194">
        <f t="shared" si="2"/>
        <v>0.006434078757</v>
      </c>
      <c r="AQ21" s="195">
        <v>5000.0</v>
      </c>
      <c r="AR21" s="196">
        <f t="shared" si="3"/>
        <v>0.008164918285</v>
      </c>
      <c r="AS21" s="197">
        <v>4520.0</v>
      </c>
      <c r="AT21" s="198">
        <f t="shared" si="4"/>
        <v>0.008372572047</v>
      </c>
      <c r="AU21" s="193">
        <v>6300.0</v>
      </c>
      <c r="AV21" s="194">
        <f t="shared" si="5"/>
        <v>0.01063423955</v>
      </c>
      <c r="AW21" s="199">
        <f t="shared" si="6"/>
        <v>0.3938053097</v>
      </c>
      <c r="AX21" s="195">
        <v>5740.0</v>
      </c>
      <c r="AY21" s="196">
        <f t="shared" si="7"/>
        <v>0.01134042208</v>
      </c>
      <c r="AZ21" s="232">
        <f t="shared" si="8"/>
        <v>-0.08888888889</v>
      </c>
      <c r="BA21" s="201">
        <v>5920.0</v>
      </c>
      <c r="BB21" s="202">
        <f t="shared" si="9"/>
        <v>0.0110428189</v>
      </c>
      <c r="BC21" s="203">
        <f t="shared" si="10"/>
        <v>0.03135888502</v>
      </c>
      <c r="BD21" s="204">
        <v>6219.0</v>
      </c>
      <c r="BE21" s="205">
        <f t="shared" si="11"/>
        <v>0.01095280028</v>
      </c>
      <c r="BF21" s="206">
        <f t="shared" si="12"/>
        <v>0.05050675676</v>
      </c>
      <c r="BG21" s="207" t="s">
        <v>84</v>
      </c>
      <c r="BH21" s="167"/>
    </row>
    <row r="22">
      <c r="A22" s="183">
        <v>20.0</v>
      </c>
      <c r="B22" s="184" t="s">
        <v>47</v>
      </c>
      <c r="C22" s="233"/>
      <c r="D22" s="233"/>
      <c r="E22" s="233"/>
      <c r="F22" s="234"/>
      <c r="G22" s="233"/>
      <c r="H22" s="234"/>
      <c r="I22" s="233"/>
      <c r="J22" s="234"/>
      <c r="K22" s="233"/>
      <c r="L22" s="234"/>
      <c r="M22" s="233"/>
      <c r="N22" s="235"/>
      <c r="O22" s="233"/>
      <c r="P22" s="235"/>
      <c r="Q22" s="233"/>
      <c r="R22" s="235"/>
      <c r="S22" s="233"/>
      <c r="T22" s="189">
        <v>0.0</v>
      </c>
      <c r="U22" s="187">
        <v>7700.0</v>
      </c>
      <c r="V22" s="189">
        <v>0.016</v>
      </c>
      <c r="W22" s="187">
        <v>7600.0</v>
      </c>
      <c r="X22" s="189">
        <v>0.016</v>
      </c>
      <c r="Y22" s="187">
        <v>7000.0</v>
      </c>
      <c r="Z22" s="189">
        <v>0.016</v>
      </c>
      <c r="AA22" s="187">
        <v>7200.0</v>
      </c>
      <c r="AB22" s="189">
        <v>0.014</v>
      </c>
      <c r="AC22" s="187">
        <v>6900.0</v>
      </c>
      <c r="AD22" s="189">
        <v>0.014</v>
      </c>
      <c r="AE22" s="187">
        <v>7050.0</v>
      </c>
      <c r="AF22" s="189">
        <v>0.014</v>
      </c>
      <c r="AG22" s="187">
        <v>6800.0</v>
      </c>
      <c r="AH22" s="189">
        <v>0.014</v>
      </c>
      <c r="AI22" s="190">
        <v>6500.0</v>
      </c>
      <c r="AJ22" s="189">
        <v>0.013</v>
      </c>
      <c r="AK22" s="190">
        <v>6600.0</v>
      </c>
      <c r="AL22" s="189">
        <v>0.013</v>
      </c>
      <c r="AM22" s="191">
        <v>6500.0</v>
      </c>
      <c r="AN22" s="192">
        <f t="shared" si="1"/>
        <v>0.01286000597</v>
      </c>
      <c r="AO22" s="193">
        <v>6533.0</v>
      </c>
      <c r="AP22" s="194">
        <f t="shared" si="2"/>
        <v>0.0128661881</v>
      </c>
      <c r="AQ22" s="195">
        <v>5120.0</v>
      </c>
      <c r="AR22" s="196">
        <f t="shared" si="3"/>
        <v>0.008360876324</v>
      </c>
      <c r="AS22" s="197">
        <v>4864.0</v>
      </c>
      <c r="AT22" s="198">
        <f t="shared" si="4"/>
        <v>0.009009776645</v>
      </c>
      <c r="AU22" s="193">
        <v>5300.0</v>
      </c>
      <c r="AV22" s="194">
        <f t="shared" si="5"/>
        <v>0.008946265019</v>
      </c>
      <c r="AW22" s="199">
        <f t="shared" si="6"/>
        <v>0.08963815789</v>
      </c>
      <c r="AX22" s="195">
        <v>4500.0</v>
      </c>
      <c r="AY22" s="196">
        <f t="shared" si="7"/>
        <v>0.008890574805</v>
      </c>
      <c r="AZ22" s="232">
        <f t="shared" si="8"/>
        <v>-0.1509433962</v>
      </c>
      <c r="BA22" s="201">
        <v>5200.0</v>
      </c>
      <c r="BB22" s="202">
        <f t="shared" si="9"/>
        <v>0.009699773361</v>
      </c>
      <c r="BC22" s="203">
        <f t="shared" si="10"/>
        <v>0.1555555556</v>
      </c>
      <c r="BD22" s="204">
        <v>5800.0</v>
      </c>
      <c r="BE22" s="205">
        <f t="shared" si="11"/>
        <v>0.01021486439</v>
      </c>
      <c r="BF22" s="206">
        <f t="shared" si="12"/>
        <v>0.1153846154</v>
      </c>
      <c r="BG22" s="207" t="s">
        <v>84</v>
      </c>
      <c r="BH22" s="167"/>
    </row>
    <row r="23">
      <c r="A23" s="183">
        <v>21.0</v>
      </c>
      <c r="B23" s="184" t="s">
        <v>46</v>
      </c>
      <c r="C23" s="185">
        <v>5100.0</v>
      </c>
      <c r="D23" s="186">
        <v>0.012</v>
      </c>
      <c r="E23" s="187">
        <v>5500.0</v>
      </c>
      <c r="F23" s="188">
        <v>0.013</v>
      </c>
      <c r="G23" s="185">
        <v>5000.0</v>
      </c>
      <c r="H23" s="188">
        <v>0.011</v>
      </c>
      <c r="I23" s="185">
        <v>5000.0</v>
      </c>
      <c r="J23" s="188">
        <v>0.011</v>
      </c>
      <c r="K23" s="185">
        <v>5000.0</v>
      </c>
      <c r="L23" s="188">
        <v>0.011</v>
      </c>
      <c r="M23" s="185">
        <v>4500.0</v>
      </c>
      <c r="N23" s="189">
        <v>0.011</v>
      </c>
      <c r="O23" s="185">
        <v>3036.0</v>
      </c>
      <c r="P23" s="189">
        <v>0.007</v>
      </c>
      <c r="Q23" s="185">
        <v>2800.0</v>
      </c>
      <c r="R23" s="189">
        <v>0.006</v>
      </c>
      <c r="S23" s="187">
        <v>5875.0</v>
      </c>
      <c r="T23" s="189">
        <v>0.012</v>
      </c>
      <c r="U23" s="187">
        <v>5100.0</v>
      </c>
      <c r="V23" s="189">
        <v>0.011</v>
      </c>
      <c r="W23" s="187">
        <v>4500.0</v>
      </c>
      <c r="X23" s="189">
        <v>0.009</v>
      </c>
      <c r="Y23" s="187">
        <v>4200.0</v>
      </c>
      <c r="Z23" s="189">
        <v>0.01</v>
      </c>
      <c r="AA23" s="187">
        <v>4550.0</v>
      </c>
      <c r="AB23" s="189">
        <v>0.009</v>
      </c>
      <c r="AC23" s="187">
        <v>4850.0</v>
      </c>
      <c r="AD23" s="189">
        <v>0.01</v>
      </c>
      <c r="AE23" s="187">
        <v>5200.0</v>
      </c>
      <c r="AF23" s="189">
        <v>0.011</v>
      </c>
      <c r="AG23" s="187">
        <v>4800.0</v>
      </c>
      <c r="AH23" s="189">
        <v>0.01</v>
      </c>
      <c r="AI23" s="190">
        <v>4300.0</v>
      </c>
      <c r="AJ23" s="189">
        <v>0.009</v>
      </c>
      <c r="AK23" s="190">
        <v>4100.0</v>
      </c>
      <c r="AL23" s="189">
        <v>0.008</v>
      </c>
      <c r="AM23" s="236">
        <v>3800.0</v>
      </c>
      <c r="AN23" s="192">
        <f t="shared" si="1"/>
        <v>0.007518157339</v>
      </c>
      <c r="AO23" s="237">
        <v>4067.0</v>
      </c>
      <c r="AP23" s="194">
        <f t="shared" si="2"/>
        <v>0.008009610745</v>
      </c>
      <c r="AQ23" s="238">
        <v>4200.0</v>
      </c>
      <c r="AR23" s="196">
        <f t="shared" si="3"/>
        <v>0.00685853136</v>
      </c>
      <c r="AS23" s="239">
        <v>3850.0</v>
      </c>
      <c r="AT23" s="198">
        <f t="shared" si="4"/>
        <v>0.007131504951</v>
      </c>
      <c r="AU23" s="237">
        <v>4800.0</v>
      </c>
      <c r="AV23" s="194">
        <f t="shared" si="5"/>
        <v>0.008102277753</v>
      </c>
      <c r="AW23" s="199">
        <f t="shared" si="6"/>
        <v>0.2467532468</v>
      </c>
      <c r="AX23" s="238">
        <v>3800.0</v>
      </c>
      <c r="AY23" s="196">
        <f t="shared" si="7"/>
        <v>0.007507596502</v>
      </c>
      <c r="AZ23" s="232">
        <f t="shared" si="8"/>
        <v>-0.2083333333</v>
      </c>
      <c r="BA23" s="240">
        <v>4200.0</v>
      </c>
      <c r="BB23" s="202">
        <f t="shared" si="9"/>
        <v>0.00783443233</v>
      </c>
      <c r="BC23" s="203">
        <f t="shared" si="10"/>
        <v>0.1052631579</v>
      </c>
      <c r="BD23" s="241">
        <v>4520.0</v>
      </c>
      <c r="BE23" s="205">
        <f t="shared" si="11"/>
        <v>0.007960549489</v>
      </c>
      <c r="BF23" s="206">
        <f t="shared" si="12"/>
        <v>0.07619047619</v>
      </c>
      <c r="BG23" s="207" t="s">
        <v>84</v>
      </c>
      <c r="BH23" s="167"/>
    </row>
    <row r="24">
      <c r="A24" s="183">
        <v>22.0</v>
      </c>
      <c r="B24" s="184" t="s">
        <v>48</v>
      </c>
      <c r="C24" s="185">
        <v>50000.0</v>
      </c>
      <c r="D24" s="186">
        <v>0.116</v>
      </c>
      <c r="E24" s="187">
        <v>50000.0</v>
      </c>
      <c r="F24" s="188">
        <v>0.115</v>
      </c>
      <c r="G24" s="187">
        <v>50000.0</v>
      </c>
      <c r="H24" s="188">
        <v>0.111</v>
      </c>
      <c r="I24" s="187">
        <v>55000.0</v>
      </c>
      <c r="J24" s="188">
        <v>0.117</v>
      </c>
      <c r="K24" s="187">
        <v>56000.0</v>
      </c>
      <c r="L24" s="188">
        <v>0.124</v>
      </c>
      <c r="M24" s="187">
        <v>60000.0</v>
      </c>
      <c r="N24" s="189">
        <v>0.141</v>
      </c>
      <c r="O24" s="187">
        <v>65000.0</v>
      </c>
      <c r="P24" s="189">
        <v>0.146</v>
      </c>
      <c r="Q24" s="187">
        <v>70000.0</v>
      </c>
      <c r="R24" s="189">
        <v>0.147</v>
      </c>
      <c r="S24" s="242">
        <v>70000.0</v>
      </c>
      <c r="T24" s="189">
        <v>0.137</v>
      </c>
      <c r="U24" s="242">
        <v>55000.0</v>
      </c>
      <c r="V24" s="189">
        <v>0.113</v>
      </c>
      <c r="W24" s="242">
        <v>60000.0</v>
      </c>
      <c r="X24" s="189">
        <v>0.125</v>
      </c>
      <c r="Y24" s="242">
        <v>55000.0</v>
      </c>
      <c r="Z24" s="189">
        <v>0.127</v>
      </c>
      <c r="AA24" s="242">
        <v>60000.0</v>
      </c>
      <c r="AB24" s="189">
        <v>0.118</v>
      </c>
      <c r="AC24" s="242">
        <v>52000.0</v>
      </c>
      <c r="AD24" s="189">
        <v>0.107</v>
      </c>
      <c r="AE24" s="187">
        <v>62000.0</v>
      </c>
      <c r="AF24" s="189">
        <v>0.125</v>
      </c>
      <c r="AG24" s="187">
        <v>48000.0</v>
      </c>
      <c r="AH24" s="189">
        <v>0.097</v>
      </c>
      <c r="AI24" s="190">
        <v>53000.0</v>
      </c>
      <c r="AJ24" s="189">
        <v>0.107</v>
      </c>
      <c r="AK24" s="190">
        <v>62000.0</v>
      </c>
      <c r="AL24" s="189">
        <v>0.126</v>
      </c>
      <c r="AM24" s="191">
        <v>65000.0</v>
      </c>
      <c r="AN24" s="192">
        <f t="shared" si="1"/>
        <v>0.1286000597</v>
      </c>
      <c r="AO24" s="193">
        <v>60000.0</v>
      </c>
      <c r="AP24" s="194">
        <f t="shared" si="2"/>
        <v>0.1181648991</v>
      </c>
      <c r="AQ24" s="195">
        <v>57000.0</v>
      </c>
      <c r="AR24" s="196">
        <f t="shared" si="3"/>
        <v>0.09308006845</v>
      </c>
      <c r="AS24" s="197">
        <v>52000.0</v>
      </c>
      <c r="AT24" s="198">
        <f t="shared" si="4"/>
        <v>0.09632162532</v>
      </c>
      <c r="AU24" s="193">
        <v>52000.0</v>
      </c>
      <c r="AV24" s="194">
        <f t="shared" si="5"/>
        <v>0.08777467566</v>
      </c>
      <c r="AW24" s="199">
        <f t="shared" si="6"/>
        <v>0</v>
      </c>
      <c r="AX24" s="195">
        <v>45000.0</v>
      </c>
      <c r="AY24" s="196">
        <f t="shared" si="7"/>
        <v>0.08890574805</v>
      </c>
      <c r="AZ24" s="232">
        <f t="shared" si="8"/>
        <v>-0.1346153846</v>
      </c>
      <c r="BA24" s="201">
        <v>51000.0</v>
      </c>
      <c r="BB24" s="202">
        <f t="shared" si="9"/>
        <v>0.09513239258</v>
      </c>
      <c r="BC24" s="203">
        <f t="shared" si="10"/>
        <v>0.1333333333</v>
      </c>
      <c r="BD24" s="204">
        <v>53000.0</v>
      </c>
      <c r="BE24" s="205">
        <f t="shared" si="11"/>
        <v>0.09334272631</v>
      </c>
      <c r="BF24" s="206">
        <f t="shared" si="12"/>
        <v>0.03921568627</v>
      </c>
      <c r="BG24" s="211"/>
      <c r="BH24" s="167"/>
    </row>
    <row r="25">
      <c r="A25" s="183">
        <v>23.0</v>
      </c>
      <c r="B25" s="243" t="s">
        <v>49</v>
      </c>
      <c r="C25" s="244">
        <v>431918.0</v>
      </c>
      <c r="D25" s="245">
        <v>1.0</v>
      </c>
      <c r="E25" s="246">
        <v>435812.0</v>
      </c>
      <c r="F25" s="247">
        <v>1.0</v>
      </c>
      <c r="G25" s="246">
        <v>449429.0</v>
      </c>
      <c r="H25" s="247">
        <v>1.0</v>
      </c>
      <c r="I25" s="246">
        <v>470727.0</v>
      </c>
      <c r="J25" s="247">
        <v>1.0</v>
      </c>
      <c r="K25" s="246">
        <v>452927.0</v>
      </c>
      <c r="L25" s="247">
        <v>1.0</v>
      </c>
      <c r="M25" s="246">
        <v>425559.0</v>
      </c>
      <c r="N25" s="248">
        <v>1.0</v>
      </c>
      <c r="O25" s="246">
        <v>444081.0</v>
      </c>
      <c r="P25" s="248">
        <v>1.0</v>
      </c>
      <c r="Q25" s="246">
        <v>477575.0</v>
      </c>
      <c r="R25" s="248">
        <v>1.0</v>
      </c>
      <c r="S25" s="246">
        <v>509450.0</v>
      </c>
      <c r="T25" s="248">
        <v>1.0</v>
      </c>
      <c r="U25" s="246">
        <v>485407.0</v>
      </c>
      <c r="V25" s="248">
        <v>1.0</v>
      </c>
      <c r="W25" s="246">
        <v>478190.0</v>
      </c>
      <c r="X25" s="248">
        <v>1.0</v>
      </c>
      <c r="Y25" s="246">
        <v>431760.0</v>
      </c>
      <c r="Z25" s="248">
        <v>1.0</v>
      </c>
      <c r="AA25" s="246">
        <v>506609.0</v>
      </c>
      <c r="AB25" s="248">
        <v>1.0</v>
      </c>
      <c r="AC25" s="246">
        <v>486247.0</v>
      </c>
      <c r="AD25" s="248">
        <v>1.0</v>
      </c>
      <c r="AE25" s="246">
        <v>494062.0</v>
      </c>
      <c r="AF25" s="248">
        <v>1.0</v>
      </c>
      <c r="AG25" s="246">
        <v>508898.0</v>
      </c>
      <c r="AH25" s="248">
        <v>1.0</v>
      </c>
      <c r="AI25" s="246">
        <v>509061.0</v>
      </c>
      <c r="AJ25" s="248">
        <v>1.0</v>
      </c>
      <c r="AK25" s="246">
        <v>492440.0</v>
      </c>
      <c r="AL25" s="248">
        <v>1.0</v>
      </c>
      <c r="AM25" s="249">
        <f>sum(AM3:AM24)</f>
        <v>505443</v>
      </c>
      <c r="AN25" s="250">
        <f t="shared" si="1"/>
        <v>1</v>
      </c>
      <c r="AO25" s="249">
        <f>sum(AO3:AO24)</f>
        <v>507765</v>
      </c>
      <c r="AP25" s="250">
        <f t="shared" si="2"/>
        <v>1</v>
      </c>
      <c r="AQ25" s="249">
        <f>sum(AQ3:AQ24)</f>
        <v>612376</v>
      </c>
      <c r="AR25" s="250">
        <f t="shared" si="3"/>
        <v>1</v>
      </c>
      <c r="AS25" s="249">
        <f>sum(AS3:AS24)</f>
        <v>539858</v>
      </c>
      <c r="AT25" s="250">
        <f t="shared" si="4"/>
        <v>1</v>
      </c>
      <c r="AU25" s="249">
        <f>sum(AU3:AU24)</f>
        <v>592426</v>
      </c>
      <c r="AV25" s="250">
        <f t="shared" si="5"/>
        <v>1</v>
      </c>
      <c r="AW25" s="249">
        <f t="shared" ref="AW25:AX25" si="13">sum(AW3:AW24)</f>
        <v>2.864970957</v>
      </c>
      <c r="AX25" s="249">
        <f t="shared" si="13"/>
        <v>506154</v>
      </c>
      <c r="AY25" s="250">
        <f t="shared" si="7"/>
        <v>1</v>
      </c>
      <c r="AZ25" s="249">
        <f t="shared" ref="AZ25:BA25" si="14">sum(AZ3:AZ24)</f>
        <v>-2.660622027</v>
      </c>
      <c r="BA25" s="249">
        <f t="shared" si="14"/>
        <v>536095</v>
      </c>
      <c r="BB25" s="250">
        <f t="shared" si="9"/>
        <v>1</v>
      </c>
      <c r="BC25" s="249">
        <f t="shared" ref="BC25:BD25" si="15">sum(BC3:BC24)</f>
        <v>1.737887197</v>
      </c>
      <c r="BD25" s="249">
        <f t="shared" si="15"/>
        <v>567800</v>
      </c>
      <c r="BE25" s="250">
        <f t="shared" si="11"/>
        <v>1</v>
      </c>
      <c r="BF25" s="251">
        <f t="shared" si="12"/>
        <v>0.05914063739</v>
      </c>
      <c r="BG25" s="252" t="s">
        <v>86</v>
      </c>
      <c r="BH25" s="167"/>
    </row>
    <row r="26">
      <c r="A26" s="253"/>
      <c r="B26" s="254" t="s">
        <v>87</v>
      </c>
      <c r="C26" s="253"/>
      <c r="D26" s="255"/>
      <c r="E26" s="256"/>
      <c r="F26" s="257"/>
      <c r="G26" s="253"/>
      <c r="H26" s="257"/>
      <c r="I26" s="253"/>
      <c r="J26" s="257"/>
      <c r="K26" s="253"/>
      <c r="L26" s="257"/>
      <c r="M26" s="253"/>
      <c r="N26" s="258"/>
      <c r="O26" s="253"/>
      <c r="P26" s="258"/>
      <c r="Q26" s="253"/>
      <c r="R26" s="258"/>
      <c r="S26" s="256"/>
      <c r="T26" s="258"/>
      <c r="U26" s="256"/>
      <c r="V26" s="258"/>
      <c r="W26" s="256"/>
      <c r="X26" s="258"/>
      <c r="Y26" s="256"/>
      <c r="Z26" s="258"/>
      <c r="AA26" s="256"/>
      <c r="AB26" s="258"/>
      <c r="AC26" s="256"/>
      <c r="AD26" s="258"/>
      <c r="AE26" s="256"/>
      <c r="AF26" s="258"/>
      <c r="AG26" s="256"/>
      <c r="AH26" s="258"/>
      <c r="AI26" s="259"/>
      <c r="AJ26" s="258"/>
      <c r="AK26" s="259"/>
      <c r="AL26" s="258"/>
      <c r="AM26" s="260"/>
      <c r="AN26" s="261"/>
      <c r="AO26" s="261">
        <f>(AO25-AM25)/AM25</f>
        <v>0.004593989827</v>
      </c>
      <c r="AP26" s="262"/>
      <c r="AQ26" s="261">
        <f>(AQ25-AO25)/AO25</f>
        <v>0.206022471</v>
      </c>
      <c r="AR26" s="262"/>
      <c r="AS26" s="261">
        <f>(AS25-AQ25)/AQ25</f>
        <v>-0.1184207088</v>
      </c>
      <c r="AT26" s="261"/>
      <c r="AU26" s="261">
        <f>(AU25-AS25)/AS25</f>
        <v>0.09737375384</v>
      </c>
      <c r="AV26" s="261"/>
      <c r="AW26" s="261"/>
      <c r="AX26" s="261">
        <f>(AX25-AU25)/AU25</f>
        <v>-0.1456249388</v>
      </c>
      <c r="AY26" s="262"/>
      <c r="AZ26" s="263"/>
      <c r="BA26" s="261">
        <f>(BA25-AX25)/AX25</f>
        <v>0.05915393339</v>
      </c>
      <c r="BB26" s="261"/>
      <c r="BC26" s="263"/>
      <c r="BD26" s="261">
        <f>(BD25-BA25)/BA25</f>
        <v>0.05914063739</v>
      </c>
      <c r="BE26" s="262"/>
      <c r="BF26" s="263"/>
      <c r="BG26" s="264"/>
      <c r="BH26" s="265"/>
    </row>
    <row r="27">
      <c r="A27" s="266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266"/>
      <c r="O27" s="167"/>
      <c r="P27" s="266"/>
      <c r="Q27" s="167"/>
      <c r="R27" s="266"/>
      <c r="S27" s="167"/>
      <c r="T27" s="266"/>
      <c r="U27" s="167"/>
      <c r="V27" s="266"/>
      <c r="W27" s="167"/>
      <c r="X27" s="266"/>
      <c r="Y27" s="167"/>
      <c r="Z27" s="266"/>
      <c r="AA27" s="167"/>
      <c r="AB27" s="266"/>
      <c r="AC27" s="167"/>
      <c r="AD27" s="266"/>
      <c r="AE27" s="167"/>
      <c r="AF27" s="266"/>
      <c r="AG27" s="167"/>
      <c r="AH27" s="266"/>
      <c r="AI27" s="266"/>
      <c r="AJ27" s="266"/>
      <c r="AK27" s="266"/>
      <c r="AL27" s="266"/>
      <c r="AM27" s="266"/>
      <c r="AN27" s="267"/>
      <c r="AO27" s="266"/>
      <c r="AP27" s="267"/>
      <c r="AQ27" s="266"/>
      <c r="AR27" s="266"/>
      <c r="AS27" s="266"/>
      <c r="AT27" s="266"/>
      <c r="AU27" s="266"/>
      <c r="AV27" s="266"/>
      <c r="AW27" s="266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167"/>
    </row>
    <row r="28">
      <c r="A28" s="253"/>
      <c r="B28" s="254" t="s">
        <v>88</v>
      </c>
      <c r="C28" s="253"/>
      <c r="D28" s="255"/>
      <c r="E28" s="256"/>
      <c r="F28" s="257"/>
      <c r="G28" s="253"/>
      <c r="H28" s="257"/>
      <c r="I28" s="253"/>
      <c r="J28" s="257"/>
      <c r="K28" s="253"/>
      <c r="L28" s="257"/>
      <c r="M28" s="253"/>
      <c r="N28" s="258"/>
      <c r="O28" s="253"/>
      <c r="P28" s="258"/>
      <c r="Q28" s="253"/>
      <c r="R28" s="258"/>
      <c r="S28" s="256"/>
      <c r="T28" s="258"/>
      <c r="U28" s="256"/>
      <c r="V28" s="258"/>
      <c r="W28" s="256"/>
      <c r="X28" s="258"/>
      <c r="Y28" s="256"/>
      <c r="Z28" s="258"/>
      <c r="AA28" s="256"/>
      <c r="AB28" s="258"/>
      <c r="AC28" s="256"/>
      <c r="AD28" s="258"/>
      <c r="AE28" s="256"/>
      <c r="AF28" s="258"/>
      <c r="AG28" s="256"/>
      <c r="AH28" s="258"/>
      <c r="AI28" s="259"/>
      <c r="AJ28" s="258"/>
      <c r="AK28" s="259"/>
      <c r="AL28" s="258"/>
      <c r="AM28" s="269"/>
      <c r="AN28" s="270"/>
      <c r="AO28" s="271">
        <f>(AO18-AM18)/AM18</f>
        <v>0.7060782681</v>
      </c>
      <c r="AP28" s="271"/>
      <c r="AQ28" s="272">
        <f>(AQ18-AO18)/AO18</f>
        <v>1.042947779</v>
      </c>
      <c r="AR28" s="272"/>
      <c r="AS28" s="273">
        <f>(AS18-AQ18)/AQ18</f>
        <v>0.2654085045</v>
      </c>
      <c r="AT28" s="273"/>
      <c r="AU28" s="271">
        <f>(AU18-AS18)/AS18</f>
        <v>0.3267887483</v>
      </c>
      <c r="AV28" s="271"/>
      <c r="AW28" s="274"/>
      <c r="AX28" s="272">
        <f>(AX18-AU18)/AU18</f>
        <v>0.02561183836</v>
      </c>
      <c r="AY28" s="272"/>
      <c r="AZ28" s="223"/>
      <c r="BA28" s="275">
        <f>(BA18-AX18)/AX18</f>
        <v>0.1613485017</v>
      </c>
      <c r="BB28" s="275"/>
      <c r="BC28" s="229"/>
      <c r="BD28" s="275">
        <f>(BD18-BA18)/BA18</f>
        <v>0.2232708159</v>
      </c>
      <c r="BE28" s="229"/>
      <c r="BF28" s="229"/>
      <c r="BG28" s="276"/>
      <c r="BH28" s="277"/>
    </row>
    <row r="29">
      <c r="A29" s="154"/>
      <c r="AN29" s="155"/>
      <c r="AP29" s="155"/>
    </row>
    <row r="30">
      <c r="A30" s="154"/>
      <c r="AN30" s="155"/>
      <c r="AP30" s="155"/>
    </row>
    <row r="31">
      <c r="A31" s="154"/>
      <c r="AN31" s="155"/>
      <c r="AP31" s="155"/>
    </row>
    <row r="32">
      <c r="A32" s="154"/>
      <c r="AN32" s="155"/>
      <c r="AP32" s="155"/>
    </row>
    <row r="33">
      <c r="A33" s="154"/>
      <c r="AN33" s="155"/>
      <c r="AP33" s="155"/>
    </row>
    <row r="34">
      <c r="A34" s="154"/>
      <c r="AN34" s="155"/>
      <c r="AP34" s="155"/>
    </row>
    <row r="35">
      <c r="A35" s="154"/>
      <c r="AN35" s="155"/>
      <c r="AP35" s="155"/>
    </row>
    <row r="36">
      <c r="A36" s="154"/>
      <c r="AN36" s="155"/>
      <c r="AP36" s="155"/>
    </row>
    <row r="37">
      <c r="A37" s="154"/>
      <c r="AN37" s="155"/>
      <c r="AP37" s="155"/>
    </row>
    <row r="38">
      <c r="A38" s="154"/>
      <c r="AN38" s="155"/>
      <c r="AP38" s="155"/>
    </row>
    <row r="39">
      <c r="A39" s="154"/>
      <c r="AN39" s="155"/>
      <c r="AP39" s="155"/>
    </row>
    <row r="40">
      <c r="A40" s="154"/>
      <c r="B40" s="184" t="s">
        <v>26</v>
      </c>
      <c r="C40" s="278">
        <v>62400.0</v>
      </c>
      <c r="D40" s="278">
        <v>60700.0</v>
      </c>
      <c r="E40" s="278">
        <v>61000.0</v>
      </c>
      <c r="F40" s="278">
        <v>62500.0</v>
      </c>
      <c r="G40" s="278">
        <v>71000.0</v>
      </c>
      <c r="H40" s="278">
        <v>66000.0</v>
      </c>
      <c r="J40" s="278">
        <v>72400.0</v>
      </c>
      <c r="K40" s="278">
        <v>74520.0</v>
      </c>
      <c r="AN40" s="155"/>
      <c r="AP40" s="155"/>
    </row>
    <row r="41">
      <c r="A41" s="154"/>
      <c r="B41" s="184" t="s">
        <v>29</v>
      </c>
      <c r="C41" s="278">
        <v>37350.0</v>
      </c>
      <c r="D41" s="278">
        <v>34000.0</v>
      </c>
      <c r="E41" s="278">
        <v>32300.0</v>
      </c>
      <c r="F41" s="278">
        <v>34000.0</v>
      </c>
      <c r="G41" s="278">
        <v>30600.0</v>
      </c>
      <c r="H41" s="278">
        <v>28700.0</v>
      </c>
      <c r="J41" s="278">
        <v>39200.0</v>
      </c>
      <c r="K41" s="278">
        <v>42000.0</v>
      </c>
      <c r="AN41" s="155"/>
      <c r="AP41" s="155"/>
    </row>
    <row r="42">
      <c r="A42" s="154"/>
      <c r="B42" s="184" t="s">
        <v>31</v>
      </c>
      <c r="C42" s="278">
        <v>34250.0</v>
      </c>
      <c r="D42" s="278">
        <v>33200.0</v>
      </c>
      <c r="E42" s="278">
        <v>34100.0</v>
      </c>
      <c r="F42" s="278">
        <v>38700.0</v>
      </c>
      <c r="G42" s="278">
        <v>35300.0</v>
      </c>
      <c r="H42" s="278">
        <v>31500.0</v>
      </c>
      <c r="J42" s="278">
        <v>36800.0</v>
      </c>
      <c r="K42" s="278">
        <v>38920.0</v>
      </c>
      <c r="AN42" s="155"/>
      <c r="AP42" s="155"/>
    </row>
    <row r="43">
      <c r="A43" s="154"/>
      <c r="B43" s="184" t="s">
        <v>30</v>
      </c>
      <c r="C43" s="278">
        <v>32170.0</v>
      </c>
      <c r="D43" s="278">
        <v>34500.0</v>
      </c>
      <c r="E43" s="278">
        <v>35600.0</v>
      </c>
      <c r="F43" s="278">
        <v>32600.0</v>
      </c>
      <c r="G43" s="278">
        <v>29800.0</v>
      </c>
      <c r="H43" s="278">
        <v>26550.0</v>
      </c>
      <c r="J43" s="278">
        <v>36700.0</v>
      </c>
      <c r="K43" s="278">
        <v>38230.0</v>
      </c>
      <c r="AN43" s="155"/>
      <c r="AP43" s="155"/>
    </row>
    <row r="44">
      <c r="A44" s="154"/>
      <c r="B44" s="184" t="s">
        <v>28</v>
      </c>
      <c r="C44" s="278">
        <v>26530.0</v>
      </c>
      <c r="D44" s="278">
        <v>26000.0</v>
      </c>
      <c r="E44" s="278">
        <v>28650.0</v>
      </c>
      <c r="F44" s="278">
        <v>28000.0</v>
      </c>
      <c r="G44" s="278">
        <v>28500.0</v>
      </c>
      <c r="H44" s="278">
        <v>27200.0</v>
      </c>
      <c r="J44" s="278">
        <v>31800.0</v>
      </c>
      <c r="K44" s="278">
        <v>36520.0</v>
      </c>
      <c r="AN44" s="155"/>
      <c r="AP44" s="155"/>
    </row>
    <row r="45">
      <c r="A45" s="154"/>
      <c r="B45" s="184" t="s">
        <v>34</v>
      </c>
      <c r="C45" s="278">
        <v>26110.0</v>
      </c>
      <c r="D45" s="278">
        <v>25770.0</v>
      </c>
      <c r="E45" s="278">
        <v>22289.0</v>
      </c>
      <c r="F45" s="278">
        <v>28971.0</v>
      </c>
      <c r="G45" s="278">
        <v>29480.0</v>
      </c>
      <c r="H45" s="278">
        <v>29918.0</v>
      </c>
      <c r="J45" s="278">
        <v>32771.0</v>
      </c>
      <c r="K45" s="278">
        <v>35436.0</v>
      </c>
      <c r="AN45" s="155"/>
      <c r="AP45" s="155"/>
    </row>
    <row r="46">
      <c r="A46" s="154"/>
      <c r="B46" s="184" t="s">
        <v>33</v>
      </c>
      <c r="C46" s="278">
        <v>31800.0</v>
      </c>
      <c r="D46" s="278">
        <v>29800.0</v>
      </c>
      <c r="E46" s="278">
        <v>28000.0</v>
      </c>
      <c r="F46" s="278">
        <v>25200.0</v>
      </c>
      <c r="G46" s="278">
        <v>33600.0</v>
      </c>
      <c r="H46" s="278">
        <v>31500.0</v>
      </c>
      <c r="J46" s="278">
        <v>31300.0</v>
      </c>
      <c r="K46" s="278">
        <v>32400.0</v>
      </c>
      <c r="AN46" s="155"/>
      <c r="AP46" s="155"/>
    </row>
    <row r="47">
      <c r="A47" s="154"/>
      <c r="B47" s="184" t="s">
        <v>38</v>
      </c>
      <c r="C47" s="278">
        <v>32500.0</v>
      </c>
      <c r="D47" s="278">
        <v>28700.0</v>
      </c>
      <c r="E47" s="278">
        <v>31450.0</v>
      </c>
      <c r="F47" s="278">
        <v>42000.0</v>
      </c>
      <c r="G47" s="278">
        <v>41200.0</v>
      </c>
      <c r="H47" s="278">
        <v>37000.0</v>
      </c>
      <c r="J47" s="278">
        <v>28700.0</v>
      </c>
      <c r="K47" s="278">
        <v>31300.0</v>
      </c>
      <c r="AN47" s="155"/>
      <c r="AP47" s="155"/>
    </row>
    <row r="48">
      <c r="A48" s="154"/>
      <c r="B48" s="184" t="s">
        <v>35</v>
      </c>
      <c r="C48" s="278">
        <v>23700.0</v>
      </c>
      <c r="D48" s="278">
        <v>25519.0</v>
      </c>
      <c r="E48" s="278">
        <v>23200.0</v>
      </c>
      <c r="F48" s="278">
        <v>24600.0</v>
      </c>
      <c r="G48" s="278">
        <v>22100.0</v>
      </c>
      <c r="H48" s="278">
        <v>22000.0</v>
      </c>
      <c r="J48" s="278">
        <v>26555.0</v>
      </c>
      <c r="K48" s="278">
        <v>28600.0</v>
      </c>
      <c r="AN48" s="155"/>
      <c r="AP48" s="155"/>
    </row>
    <row r="49">
      <c r="A49" s="154"/>
      <c r="B49" s="184" t="s">
        <v>32</v>
      </c>
      <c r="C49" s="278">
        <v>38500.0</v>
      </c>
      <c r="D49" s="278">
        <v>34300.0</v>
      </c>
      <c r="E49" s="278">
        <v>33200.0</v>
      </c>
      <c r="F49" s="278">
        <v>37400.0</v>
      </c>
      <c r="G49" s="278">
        <v>36000.0</v>
      </c>
      <c r="H49" s="278">
        <v>35200.0</v>
      </c>
      <c r="J49" s="278">
        <v>26800.0</v>
      </c>
      <c r="K49" s="278">
        <v>27300.0</v>
      </c>
      <c r="AN49" s="155"/>
      <c r="AP49" s="155"/>
    </row>
    <row r="50">
      <c r="A50" s="154"/>
      <c r="B50" s="184" t="s">
        <v>36</v>
      </c>
      <c r="C50" s="278">
        <v>21800.0</v>
      </c>
      <c r="D50" s="278">
        <v>22500.0</v>
      </c>
      <c r="E50" s="278">
        <v>20560.0</v>
      </c>
      <c r="F50" s="278">
        <v>21520.0</v>
      </c>
      <c r="G50" s="278">
        <v>19300.0</v>
      </c>
      <c r="H50" s="278">
        <v>19200.0</v>
      </c>
      <c r="J50" s="278">
        <v>23400.0</v>
      </c>
      <c r="K50" s="278">
        <v>24000.0</v>
      </c>
      <c r="AN50" s="155"/>
      <c r="AP50" s="155"/>
    </row>
    <row r="51">
      <c r="A51" s="154"/>
      <c r="B51" s="184" t="s">
        <v>39</v>
      </c>
      <c r="C51" s="278">
        <v>12642.0</v>
      </c>
      <c r="D51" s="278">
        <v>11600.0</v>
      </c>
      <c r="E51" s="278">
        <v>12593.0</v>
      </c>
      <c r="F51" s="278">
        <v>11900.0</v>
      </c>
      <c r="G51" s="278">
        <v>11000.0</v>
      </c>
      <c r="H51" s="278">
        <v>12000.0</v>
      </c>
      <c r="J51" s="278">
        <v>19200.0</v>
      </c>
      <c r="K51" s="278">
        <v>19000.0</v>
      </c>
      <c r="AN51" s="155"/>
      <c r="AP51" s="155"/>
    </row>
    <row r="52">
      <c r="A52" s="154"/>
      <c r="B52" s="184" t="s">
        <v>43</v>
      </c>
      <c r="C52" s="278">
        <v>14257.0</v>
      </c>
      <c r="D52" s="278">
        <v>14208.0</v>
      </c>
      <c r="E52" s="278">
        <v>15255.0</v>
      </c>
      <c r="F52" s="278">
        <v>16527.0</v>
      </c>
      <c r="G52" s="278">
        <v>15201.0</v>
      </c>
      <c r="H52" s="278">
        <v>12622.0</v>
      </c>
      <c r="J52" s="278">
        <v>15978.0</v>
      </c>
      <c r="K52" s="278">
        <v>17495.0</v>
      </c>
      <c r="AN52" s="155"/>
      <c r="AP52" s="155"/>
    </row>
    <row r="53">
      <c r="A53" s="154"/>
      <c r="B53" s="184" t="s">
        <v>44</v>
      </c>
      <c r="C53" s="278">
        <v>7450.0</v>
      </c>
      <c r="D53" s="278">
        <v>7100.0</v>
      </c>
      <c r="E53" s="278">
        <v>6850.0</v>
      </c>
      <c r="F53" s="278">
        <v>6400.0</v>
      </c>
      <c r="G53" s="278">
        <v>6200.0</v>
      </c>
      <c r="H53" s="278">
        <v>5950.0</v>
      </c>
      <c r="J53" s="278">
        <v>10500.0</v>
      </c>
      <c r="K53" s="278">
        <v>11700.0</v>
      </c>
      <c r="AN53" s="155"/>
      <c r="AP53" s="155"/>
    </row>
    <row r="54">
      <c r="A54" s="154"/>
      <c r="B54" s="184" t="s">
        <v>42</v>
      </c>
      <c r="C54" s="278">
        <v>12000.0</v>
      </c>
      <c r="D54" s="278">
        <v>12500.0</v>
      </c>
      <c r="E54" s="278">
        <v>12300.0</v>
      </c>
      <c r="F54" s="278">
        <v>13000.0</v>
      </c>
      <c r="G54" s="278">
        <v>11480.0</v>
      </c>
      <c r="H54" s="278">
        <v>10200.0</v>
      </c>
      <c r="J54" s="278">
        <v>10200.0</v>
      </c>
      <c r="K54" s="278">
        <v>11300.0</v>
      </c>
      <c r="AN54" s="155"/>
      <c r="AP54" s="155"/>
    </row>
    <row r="55">
      <c r="A55" s="154"/>
      <c r="B55" s="212" t="s">
        <v>85</v>
      </c>
      <c r="J55" s="278">
        <v>8371.0</v>
      </c>
      <c r="K55" s="278">
        <v>10240.0</v>
      </c>
      <c r="AN55" s="155"/>
      <c r="AP55" s="155"/>
    </row>
    <row r="56">
      <c r="A56" s="154"/>
      <c r="J56" s="278">
        <v>9300.0</v>
      </c>
      <c r="K56" s="278">
        <v>10200.0</v>
      </c>
      <c r="AN56" s="155"/>
      <c r="AP56" s="155"/>
    </row>
    <row r="57">
      <c r="A57" s="154"/>
      <c r="J57" s="278">
        <v>9800.0</v>
      </c>
      <c r="K57" s="278">
        <v>9100.0</v>
      </c>
      <c r="AN57" s="155"/>
      <c r="AP57" s="155"/>
    </row>
    <row r="58">
      <c r="A58" s="154"/>
      <c r="AN58" s="155"/>
      <c r="AP58" s="155"/>
    </row>
    <row r="59">
      <c r="A59" s="154"/>
      <c r="AN59" s="155"/>
      <c r="AP59" s="155"/>
    </row>
    <row r="60">
      <c r="A60" s="154"/>
      <c r="AN60" s="155"/>
      <c r="AP60" s="155"/>
    </row>
    <row r="61">
      <c r="A61" s="154"/>
      <c r="AN61" s="155"/>
      <c r="AP61" s="155"/>
    </row>
    <row r="62">
      <c r="A62" s="154"/>
      <c r="AN62" s="155"/>
      <c r="AP62" s="155"/>
    </row>
    <row r="63">
      <c r="A63" s="154"/>
      <c r="AN63" s="155"/>
      <c r="AP63" s="155"/>
    </row>
    <row r="64">
      <c r="A64" s="154"/>
      <c r="AN64" s="155"/>
      <c r="AP64" s="155"/>
    </row>
    <row r="65">
      <c r="A65" s="154"/>
      <c r="AN65" s="155"/>
      <c r="AP65" s="155"/>
    </row>
    <row r="66">
      <c r="A66" s="154"/>
      <c r="AN66" s="155"/>
      <c r="AP66" s="155"/>
    </row>
    <row r="67">
      <c r="A67" s="154"/>
      <c r="AN67" s="155"/>
      <c r="AP67" s="155"/>
    </row>
    <row r="68">
      <c r="A68" s="154"/>
      <c r="AN68" s="155"/>
      <c r="AP68" s="155"/>
    </row>
    <row r="69">
      <c r="A69" s="154"/>
      <c r="AN69" s="155"/>
      <c r="AP69" s="155"/>
    </row>
    <row r="70">
      <c r="A70" s="154"/>
      <c r="AN70" s="155"/>
      <c r="AP70" s="155"/>
    </row>
    <row r="71">
      <c r="A71" s="154"/>
      <c r="AN71" s="155"/>
      <c r="AP71" s="155"/>
    </row>
    <row r="72">
      <c r="A72" s="154"/>
      <c r="AN72" s="155"/>
      <c r="AP72" s="155"/>
    </row>
    <row r="73">
      <c r="A73" s="154"/>
      <c r="AN73" s="155"/>
      <c r="AP73" s="155"/>
    </row>
    <row r="74">
      <c r="A74" s="154"/>
      <c r="AN74" s="155"/>
      <c r="AP74" s="155"/>
    </row>
    <row r="75">
      <c r="A75" s="154"/>
      <c r="AN75" s="155"/>
      <c r="AP75" s="155"/>
    </row>
    <row r="76">
      <c r="A76" s="154"/>
      <c r="AN76" s="155"/>
      <c r="AP76" s="155"/>
    </row>
    <row r="77">
      <c r="A77" s="154"/>
      <c r="AN77" s="155"/>
      <c r="AP77" s="155"/>
    </row>
    <row r="78">
      <c r="A78" s="154"/>
      <c r="AN78" s="155"/>
      <c r="AP78" s="155"/>
    </row>
    <row r="79">
      <c r="A79" s="154"/>
      <c r="AN79" s="155"/>
      <c r="AP79" s="155"/>
    </row>
    <row r="80">
      <c r="A80" s="154"/>
      <c r="AN80" s="155"/>
      <c r="AP80" s="155"/>
    </row>
    <row r="81">
      <c r="A81" s="154"/>
      <c r="AN81" s="155"/>
      <c r="AP81" s="155"/>
    </row>
    <row r="82">
      <c r="A82" s="154"/>
      <c r="AN82" s="155"/>
      <c r="AP82" s="155"/>
    </row>
    <row r="83">
      <c r="A83" s="154"/>
      <c r="AN83" s="155"/>
      <c r="AP83" s="155"/>
    </row>
    <row r="84">
      <c r="A84" s="154"/>
      <c r="AN84" s="155"/>
      <c r="AP84" s="155"/>
    </row>
    <row r="85">
      <c r="A85" s="154"/>
      <c r="AN85" s="155"/>
      <c r="AP85" s="155"/>
    </row>
    <row r="86">
      <c r="A86" s="154"/>
      <c r="AN86" s="155"/>
      <c r="AP86" s="155"/>
    </row>
    <row r="87">
      <c r="A87" s="154"/>
      <c r="AN87" s="155"/>
      <c r="AP87" s="155"/>
    </row>
    <row r="88">
      <c r="A88" s="154"/>
      <c r="AN88" s="155"/>
      <c r="AP88" s="155"/>
    </row>
    <row r="89">
      <c r="A89" s="154"/>
      <c r="AN89" s="155"/>
      <c r="AP89" s="155"/>
    </row>
    <row r="90">
      <c r="A90" s="154"/>
      <c r="AN90" s="155"/>
      <c r="AP90" s="155"/>
    </row>
    <row r="91">
      <c r="A91" s="154"/>
      <c r="AN91" s="155"/>
      <c r="AP91" s="155"/>
    </row>
    <row r="92">
      <c r="A92" s="154"/>
      <c r="AN92" s="155"/>
      <c r="AP92" s="155"/>
    </row>
    <row r="93">
      <c r="A93" s="154"/>
      <c r="AN93" s="155"/>
      <c r="AP93" s="155"/>
    </row>
    <row r="94">
      <c r="A94" s="154"/>
      <c r="AN94" s="155"/>
      <c r="AP94" s="155"/>
    </row>
    <row r="95">
      <c r="A95" s="154"/>
      <c r="AN95" s="155"/>
      <c r="AP95" s="155"/>
    </row>
    <row r="96">
      <c r="A96" s="154"/>
      <c r="AN96" s="155"/>
      <c r="AP96" s="155"/>
    </row>
    <row r="97">
      <c r="A97" s="154"/>
      <c r="AN97" s="155"/>
      <c r="AP97" s="155"/>
    </row>
    <row r="98">
      <c r="A98" s="154"/>
      <c r="AN98" s="155"/>
      <c r="AP98" s="155"/>
    </row>
    <row r="99">
      <c r="A99" s="154"/>
      <c r="AN99" s="155"/>
      <c r="AP99" s="155"/>
    </row>
    <row r="100">
      <c r="A100" s="154"/>
      <c r="AN100" s="155"/>
      <c r="AP100" s="155"/>
    </row>
    <row r="101">
      <c r="A101" s="154"/>
      <c r="AN101" s="155"/>
      <c r="AP101" s="155"/>
    </row>
    <row r="102">
      <c r="A102" s="154"/>
      <c r="AN102" s="155"/>
      <c r="AP102" s="155"/>
    </row>
    <row r="103">
      <c r="A103" s="154"/>
      <c r="AN103" s="155"/>
      <c r="AP103" s="155"/>
    </row>
    <row r="104">
      <c r="A104" s="154"/>
      <c r="AN104" s="155"/>
      <c r="AP104" s="155"/>
    </row>
    <row r="105">
      <c r="A105" s="154"/>
      <c r="AN105" s="155"/>
      <c r="AP105" s="155"/>
    </row>
    <row r="106">
      <c r="A106" s="154"/>
      <c r="AN106" s="155"/>
      <c r="AP106" s="155"/>
    </row>
    <row r="107">
      <c r="A107" s="154"/>
      <c r="AN107" s="155"/>
      <c r="AP107" s="155"/>
    </row>
    <row r="108">
      <c r="A108" s="154"/>
      <c r="AN108" s="155"/>
      <c r="AP108" s="155"/>
    </row>
    <row r="109">
      <c r="A109" s="154"/>
      <c r="AN109" s="155"/>
      <c r="AP109" s="155"/>
    </row>
    <row r="110">
      <c r="A110" s="154"/>
      <c r="AN110" s="155"/>
      <c r="AP110" s="155"/>
    </row>
    <row r="111">
      <c r="A111" s="154"/>
      <c r="AN111" s="155"/>
      <c r="AP111" s="155"/>
    </row>
    <row r="112">
      <c r="A112" s="154"/>
      <c r="AN112" s="155"/>
      <c r="AP112" s="155"/>
    </row>
    <row r="113">
      <c r="A113" s="154"/>
      <c r="AN113" s="155"/>
      <c r="AP113" s="155"/>
    </row>
    <row r="114">
      <c r="A114" s="154"/>
      <c r="AN114" s="155"/>
      <c r="AP114" s="155"/>
    </row>
    <row r="115">
      <c r="A115" s="154"/>
      <c r="AN115" s="155"/>
      <c r="AP115" s="155"/>
    </row>
    <row r="116">
      <c r="A116" s="154"/>
      <c r="AN116" s="155"/>
      <c r="AP116" s="155"/>
    </row>
    <row r="117">
      <c r="A117" s="154"/>
      <c r="AN117" s="155"/>
      <c r="AP117" s="155"/>
    </row>
    <row r="118">
      <c r="A118" s="154"/>
      <c r="AN118" s="155"/>
      <c r="AP118" s="155"/>
    </row>
    <row r="119">
      <c r="A119" s="154"/>
      <c r="AN119" s="155"/>
      <c r="AP119" s="155"/>
    </row>
    <row r="120">
      <c r="A120" s="154"/>
      <c r="AN120" s="155"/>
      <c r="AP120" s="155"/>
    </row>
    <row r="121">
      <c r="A121" s="154"/>
      <c r="AN121" s="155"/>
      <c r="AP121" s="155"/>
    </row>
    <row r="122">
      <c r="A122" s="154"/>
      <c r="AN122" s="155"/>
      <c r="AP122" s="155"/>
    </row>
    <row r="123">
      <c r="A123" s="154"/>
      <c r="AN123" s="155"/>
      <c r="AP123" s="155"/>
    </row>
    <row r="124">
      <c r="A124" s="154"/>
      <c r="AN124" s="155"/>
      <c r="AP124" s="155"/>
    </row>
    <row r="125">
      <c r="A125" s="154"/>
      <c r="AN125" s="155"/>
      <c r="AP125" s="155"/>
    </row>
    <row r="126">
      <c r="A126" s="154"/>
      <c r="AN126" s="155"/>
      <c r="AP126" s="155"/>
    </row>
    <row r="127">
      <c r="A127" s="154"/>
      <c r="AN127" s="155"/>
      <c r="AP127" s="155"/>
    </row>
    <row r="128">
      <c r="A128" s="154"/>
      <c r="AN128" s="155"/>
      <c r="AP128" s="155"/>
    </row>
    <row r="129">
      <c r="A129" s="154"/>
      <c r="AN129" s="155"/>
      <c r="AP129" s="155"/>
    </row>
    <row r="130">
      <c r="A130" s="154"/>
      <c r="AN130" s="155"/>
      <c r="AP130" s="155"/>
    </row>
    <row r="131">
      <c r="A131" s="154"/>
      <c r="AN131" s="155"/>
      <c r="AP131" s="155"/>
    </row>
    <row r="132">
      <c r="A132" s="154"/>
      <c r="AN132" s="155"/>
      <c r="AP132" s="155"/>
    </row>
    <row r="133">
      <c r="A133" s="154"/>
      <c r="AN133" s="155"/>
      <c r="AP133" s="155"/>
    </row>
    <row r="134">
      <c r="A134" s="154"/>
      <c r="AN134" s="155"/>
      <c r="AP134" s="155"/>
    </row>
    <row r="135">
      <c r="A135" s="154"/>
      <c r="AN135" s="155"/>
      <c r="AP135" s="155"/>
    </row>
    <row r="136">
      <c r="A136" s="154"/>
      <c r="AN136" s="155"/>
      <c r="AP136" s="155"/>
    </row>
    <row r="137">
      <c r="A137" s="154"/>
      <c r="AN137" s="155"/>
      <c r="AP137" s="155"/>
    </row>
    <row r="138">
      <c r="A138" s="154"/>
      <c r="AN138" s="155"/>
      <c r="AP138" s="155"/>
    </row>
    <row r="139">
      <c r="A139" s="154"/>
      <c r="AN139" s="155"/>
      <c r="AP139" s="155"/>
    </row>
    <row r="140">
      <c r="A140" s="154"/>
      <c r="AN140" s="155"/>
      <c r="AP140" s="155"/>
    </row>
    <row r="141">
      <c r="A141" s="154"/>
      <c r="AN141" s="155"/>
      <c r="AP141" s="155"/>
    </row>
    <row r="142">
      <c r="A142" s="154"/>
      <c r="AN142" s="155"/>
      <c r="AP142" s="155"/>
    </row>
    <row r="143">
      <c r="A143" s="154"/>
      <c r="AN143" s="155"/>
      <c r="AP143" s="155"/>
    </row>
    <row r="144">
      <c r="A144" s="154"/>
      <c r="AN144" s="155"/>
      <c r="AP144" s="155"/>
    </row>
    <row r="145">
      <c r="A145" s="154"/>
      <c r="AN145" s="155"/>
      <c r="AP145" s="155"/>
    </row>
    <row r="146">
      <c r="A146" s="154"/>
      <c r="AN146" s="155"/>
      <c r="AP146" s="155"/>
    </row>
    <row r="147">
      <c r="A147" s="154"/>
      <c r="AN147" s="155"/>
      <c r="AP147" s="155"/>
    </row>
    <row r="148">
      <c r="A148" s="154"/>
      <c r="AN148" s="155"/>
      <c r="AP148" s="155"/>
    </row>
    <row r="149">
      <c r="A149" s="154"/>
      <c r="AN149" s="155"/>
      <c r="AP149" s="155"/>
    </row>
    <row r="150">
      <c r="A150" s="154"/>
      <c r="AN150" s="155"/>
      <c r="AP150" s="155"/>
    </row>
    <row r="151">
      <c r="A151" s="154"/>
      <c r="AN151" s="155"/>
      <c r="AP151" s="155"/>
    </row>
    <row r="152">
      <c r="A152" s="154"/>
      <c r="AN152" s="155"/>
      <c r="AP152" s="155"/>
    </row>
    <row r="153">
      <c r="A153" s="154"/>
      <c r="AN153" s="155"/>
      <c r="AP153" s="155"/>
    </row>
    <row r="154">
      <c r="A154" s="154"/>
      <c r="AN154" s="155"/>
      <c r="AP154" s="155"/>
    </row>
    <row r="155">
      <c r="A155" s="154"/>
      <c r="AN155" s="155"/>
      <c r="AP155" s="155"/>
    </row>
    <row r="156">
      <c r="A156" s="154"/>
      <c r="AN156" s="155"/>
      <c r="AP156" s="155"/>
    </row>
    <row r="157">
      <c r="A157" s="154"/>
      <c r="AN157" s="155"/>
      <c r="AP157" s="155"/>
    </row>
    <row r="158">
      <c r="A158" s="154"/>
      <c r="AN158" s="155"/>
      <c r="AP158" s="155"/>
    </row>
    <row r="159">
      <c r="A159" s="154"/>
      <c r="AN159" s="155"/>
      <c r="AP159" s="155"/>
    </row>
    <row r="160">
      <c r="A160" s="154"/>
      <c r="AN160" s="155"/>
      <c r="AP160" s="155"/>
    </row>
    <row r="161">
      <c r="A161" s="154"/>
      <c r="AN161" s="155"/>
      <c r="AP161" s="155"/>
    </row>
    <row r="162">
      <c r="A162" s="154"/>
      <c r="AN162" s="155"/>
      <c r="AP162" s="155"/>
    </row>
    <row r="163">
      <c r="A163" s="154"/>
      <c r="AN163" s="155"/>
      <c r="AP163" s="155"/>
    </row>
    <row r="164">
      <c r="A164" s="154"/>
      <c r="AN164" s="155"/>
      <c r="AP164" s="155"/>
    </row>
    <row r="165">
      <c r="A165" s="154"/>
      <c r="AN165" s="155"/>
      <c r="AP165" s="155"/>
    </row>
    <row r="166">
      <c r="A166" s="154"/>
      <c r="AN166" s="155"/>
      <c r="AP166" s="155"/>
    </row>
    <row r="167">
      <c r="A167" s="154"/>
      <c r="AN167" s="155"/>
      <c r="AP167" s="155"/>
    </row>
    <row r="168">
      <c r="A168" s="154"/>
      <c r="AN168" s="155"/>
      <c r="AP168" s="155"/>
    </row>
    <row r="169">
      <c r="A169" s="154"/>
      <c r="AN169" s="155"/>
      <c r="AP169" s="155"/>
    </row>
    <row r="170">
      <c r="A170" s="154"/>
      <c r="AN170" s="155"/>
      <c r="AP170" s="155"/>
    </row>
    <row r="171">
      <c r="A171" s="154"/>
      <c r="AN171" s="155"/>
      <c r="AP171" s="155"/>
    </row>
    <row r="172">
      <c r="A172" s="154"/>
      <c r="AN172" s="155"/>
      <c r="AP172" s="155"/>
    </row>
    <row r="173">
      <c r="A173" s="154"/>
      <c r="AN173" s="155"/>
      <c r="AP173" s="155"/>
    </row>
    <row r="174">
      <c r="A174" s="154"/>
      <c r="AN174" s="155"/>
      <c r="AP174" s="155"/>
    </row>
    <row r="175">
      <c r="A175" s="154"/>
      <c r="AN175" s="155"/>
      <c r="AP175" s="155"/>
    </row>
    <row r="176">
      <c r="A176" s="154"/>
      <c r="AN176" s="155"/>
      <c r="AP176" s="155"/>
    </row>
    <row r="177">
      <c r="A177" s="154"/>
      <c r="AN177" s="155"/>
      <c r="AP177" s="155"/>
    </row>
    <row r="178">
      <c r="A178" s="154"/>
      <c r="AN178" s="155"/>
      <c r="AP178" s="155"/>
    </row>
    <row r="179">
      <c r="A179" s="154"/>
      <c r="AN179" s="155"/>
      <c r="AP179" s="155"/>
    </row>
    <row r="180">
      <c r="A180" s="154"/>
      <c r="AN180" s="155"/>
      <c r="AP180" s="155"/>
    </row>
    <row r="181">
      <c r="A181" s="154"/>
      <c r="AN181" s="155"/>
      <c r="AP181" s="155"/>
    </row>
    <row r="182">
      <c r="A182" s="154"/>
      <c r="AN182" s="155"/>
      <c r="AP182" s="155"/>
    </row>
    <row r="183">
      <c r="A183" s="154"/>
      <c r="AN183" s="155"/>
      <c r="AP183" s="155"/>
    </row>
    <row r="184">
      <c r="A184" s="154"/>
      <c r="AN184" s="155"/>
      <c r="AP184" s="155"/>
    </row>
    <row r="185">
      <c r="A185" s="154"/>
      <c r="AN185" s="155"/>
      <c r="AP185" s="155"/>
    </row>
    <row r="186">
      <c r="A186" s="154"/>
      <c r="AN186" s="155"/>
      <c r="AP186" s="155"/>
    </row>
    <row r="187">
      <c r="A187" s="154"/>
      <c r="AN187" s="155"/>
      <c r="AP187" s="155"/>
    </row>
    <row r="188">
      <c r="A188" s="154"/>
      <c r="AN188" s="155"/>
      <c r="AP188" s="155"/>
    </row>
    <row r="189">
      <c r="A189" s="154"/>
      <c r="AN189" s="155"/>
      <c r="AP189" s="155"/>
    </row>
    <row r="190">
      <c r="A190" s="154"/>
      <c r="AN190" s="155"/>
      <c r="AP190" s="155"/>
    </row>
    <row r="191">
      <c r="A191" s="154"/>
      <c r="AN191" s="155"/>
      <c r="AP191" s="155"/>
    </row>
    <row r="192">
      <c r="A192" s="154"/>
      <c r="AN192" s="155"/>
      <c r="AP192" s="155"/>
    </row>
    <row r="193">
      <c r="A193" s="154"/>
      <c r="AN193" s="155"/>
      <c r="AP193" s="155"/>
    </row>
    <row r="194">
      <c r="A194" s="154"/>
      <c r="AN194" s="155"/>
      <c r="AP194" s="155"/>
    </row>
    <row r="195">
      <c r="A195" s="154"/>
      <c r="AN195" s="155"/>
      <c r="AP195" s="155"/>
    </row>
    <row r="196">
      <c r="A196" s="154"/>
      <c r="AN196" s="155"/>
      <c r="AP196" s="155"/>
    </row>
    <row r="197">
      <c r="A197" s="154"/>
      <c r="AN197" s="155"/>
      <c r="AP197" s="155"/>
    </row>
    <row r="198">
      <c r="A198" s="154"/>
      <c r="AN198" s="155"/>
      <c r="AP198" s="155"/>
    </row>
    <row r="199">
      <c r="A199" s="154"/>
      <c r="AN199" s="155"/>
      <c r="AP199" s="155"/>
    </row>
    <row r="200">
      <c r="A200" s="154"/>
      <c r="AN200" s="155"/>
      <c r="AP200" s="155"/>
    </row>
    <row r="201">
      <c r="A201" s="154"/>
      <c r="AN201" s="155"/>
      <c r="AP201" s="155"/>
    </row>
    <row r="202">
      <c r="A202" s="154"/>
      <c r="AN202" s="155"/>
      <c r="AP202" s="155"/>
    </row>
    <row r="203">
      <c r="A203" s="154"/>
      <c r="AN203" s="155"/>
      <c r="AP203" s="155"/>
    </row>
    <row r="204">
      <c r="A204" s="154"/>
      <c r="AN204" s="155"/>
      <c r="AP204" s="155"/>
    </row>
    <row r="205">
      <c r="A205" s="154"/>
      <c r="AN205" s="155"/>
      <c r="AP205" s="155"/>
    </row>
    <row r="206">
      <c r="A206" s="154"/>
      <c r="AN206" s="155"/>
      <c r="AP206" s="155"/>
    </row>
    <row r="207">
      <c r="A207" s="154"/>
      <c r="AN207" s="155"/>
      <c r="AP207" s="155"/>
    </row>
    <row r="208">
      <c r="A208" s="154"/>
      <c r="AN208" s="155"/>
      <c r="AP208" s="155"/>
    </row>
    <row r="209">
      <c r="A209" s="154"/>
      <c r="AN209" s="155"/>
      <c r="AP209" s="155"/>
    </row>
    <row r="210">
      <c r="A210" s="154"/>
      <c r="AN210" s="155"/>
      <c r="AP210" s="155"/>
    </row>
    <row r="211">
      <c r="A211" s="154"/>
      <c r="AN211" s="155"/>
      <c r="AP211" s="155"/>
    </row>
    <row r="212">
      <c r="A212" s="154"/>
      <c r="AN212" s="155"/>
      <c r="AP212" s="155"/>
    </row>
    <row r="213">
      <c r="A213" s="154"/>
      <c r="AN213" s="155"/>
      <c r="AP213" s="155"/>
    </row>
    <row r="214">
      <c r="A214" s="154"/>
      <c r="AN214" s="155"/>
      <c r="AP214" s="155"/>
    </row>
    <row r="215">
      <c r="A215" s="154"/>
      <c r="AN215" s="155"/>
      <c r="AP215" s="155"/>
    </row>
    <row r="216">
      <c r="A216" s="154"/>
      <c r="AN216" s="155"/>
      <c r="AP216" s="155"/>
    </row>
    <row r="217">
      <c r="A217" s="154"/>
      <c r="AN217" s="155"/>
      <c r="AP217" s="155"/>
    </row>
    <row r="218">
      <c r="A218" s="154"/>
      <c r="AN218" s="155"/>
      <c r="AP218" s="155"/>
    </row>
    <row r="219">
      <c r="A219" s="154"/>
      <c r="AN219" s="155"/>
      <c r="AP219" s="155"/>
    </row>
    <row r="220">
      <c r="A220" s="154"/>
      <c r="AN220" s="155"/>
      <c r="AP220" s="155"/>
    </row>
    <row r="221">
      <c r="A221" s="154"/>
      <c r="AN221" s="155"/>
      <c r="AP221" s="155"/>
    </row>
    <row r="222">
      <c r="A222" s="154"/>
      <c r="AN222" s="155"/>
      <c r="AP222" s="155"/>
    </row>
    <row r="223">
      <c r="A223" s="154"/>
      <c r="AN223" s="155"/>
      <c r="AP223" s="155"/>
    </row>
    <row r="224">
      <c r="A224" s="154"/>
      <c r="AN224" s="155"/>
      <c r="AP224" s="155"/>
    </row>
    <row r="225">
      <c r="A225" s="154"/>
      <c r="AN225" s="155"/>
      <c r="AP225" s="155"/>
    </row>
    <row r="226">
      <c r="A226" s="154"/>
      <c r="AN226" s="155"/>
      <c r="AP226" s="155"/>
    </row>
    <row r="227">
      <c r="A227" s="154"/>
      <c r="AN227" s="155"/>
      <c r="AP227" s="155"/>
    </row>
    <row r="228">
      <c r="A228" s="154"/>
      <c r="AN228" s="155"/>
      <c r="AP228" s="155"/>
    </row>
    <row r="229">
      <c r="A229" s="154"/>
      <c r="AN229" s="155"/>
      <c r="AP229" s="155"/>
    </row>
    <row r="230">
      <c r="A230" s="154"/>
      <c r="AN230" s="155"/>
      <c r="AP230" s="155"/>
    </row>
    <row r="231">
      <c r="A231" s="154"/>
      <c r="AN231" s="155"/>
      <c r="AP231" s="155"/>
    </row>
    <row r="232">
      <c r="A232" s="154"/>
      <c r="AN232" s="155"/>
      <c r="AP232" s="155"/>
    </row>
    <row r="233">
      <c r="A233" s="154"/>
      <c r="AN233" s="155"/>
      <c r="AP233" s="155"/>
    </row>
    <row r="234">
      <c r="A234" s="154"/>
      <c r="AN234" s="155"/>
      <c r="AP234" s="155"/>
    </row>
    <row r="235">
      <c r="A235" s="154"/>
      <c r="AN235" s="155"/>
      <c r="AP235" s="155"/>
    </row>
    <row r="236">
      <c r="A236" s="154"/>
      <c r="AN236" s="155"/>
      <c r="AP236" s="155"/>
    </row>
    <row r="237">
      <c r="A237" s="154"/>
      <c r="AN237" s="155"/>
      <c r="AP237" s="155"/>
    </row>
    <row r="238">
      <c r="A238" s="154"/>
      <c r="AN238" s="155"/>
      <c r="AP238" s="155"/>
    </row>
    <row r="239">
      <c r="A239" s="154"/>
      <c r="AN239" s="155"/>
      <c r="AP239" s="155"/>
    </row>
    <row r="240">
      <c r="A240" s="154"/>
      <c r="AN240" s="155"/>
      <c r="AP240" s="155"/>
    </row>
    <row r="241">
      <c r="A241" s="154"/>
      <c r="AN241" s="155"/>
      <c r="AP241" s="155"/>
    </row>
    <row r="242">
      <c r="A242" s="154"/>
      <c r="AN242" s="155"/>
      <c r="AP242" s="155"/>
    </row>
    <row r="243">
      <c r="A243" s="154"/>
      <c r="AN243" s="155"/>
      <c r="AP243" s="155"/>
    </row>
    <row r="244">
      <c r="A244" s="154"/>
      <c r="AN244" s="155"/>
      <c r="AP244" s="155"/>
    </row>
    <row r="245">
      <c r="A245" s="154"/>
      <c r="AN245" s="155"/>
      <c r="AP245" s="155"/>
    </row>
    <row r="246">
      <c r="A246" s="154"/>
      <c r="AN246" s="155"/>
      <c r="AP246" s="155"/>
    </row>
    <row r="247">
      <c r="A247" s="154"/>
      <c r="AN247" s="155"/>
      <c r="AP247" s="155"/>
    </row>
    <row r="248">
      <c r="A248" s="154"/>
      <c r="AN248" s="155"/>
      <c r="AP248" s="155"/>
    </row>
    <row r="249">
      <c r="A249" s="154"/>
      <c r="AN249" s="155"/>
      <c r="AP249" s="155"/>
    </row>
    <row r="250">
      <c r="A250" s="154"/>
      <c r="AN250" s="155"/>
      <c r="AP250" s="155"/>
    </row>
    <row r="251">
      <c r="A251" s="154"/>
      <c r="AN251" s="155"/>
      <c r="AP251" s="155"/>
    </row>
    <row r="252">
      <c r="A252" s="154"/>
      <c r="AN252" s="155"/>
      <c r="AP252" s="155"/>
    </row>
    <row r="253">
      <c r="A253" s="154"/>
      <c r="AN253" s="155"/>
      <c r="AP253" s="155"/>
    </row>
    <row r="254">
      <c r="A254" s="154"/>
      <c r="AN254" s="155"/>
      <c r="AP254" s="155"/>
    </row>
    <row r="255">
      <c r="A255" s="154"/>
      <c r="AN255" s="155"/>
      <c r="AP255" s="155"/>
    </row>
    <row r="256">
      <c r="A256" s="154"/>
      <c r="AN256" s="155"/>
      <c r="AP256" s="155"/>
    </row>
    <row r="257">
      <c r="A257" s="154"/>
      <c r="AN257" s="155"/>
      <c r="AP257" s="155"/>
    </row>
    <row r="258">
      <c r="A258" s="154"/>
      <c r="AN258" s="155"/>
      <c r="AP258" s="155"/>
    </row>
    <row r="259">
      <c r="A259" s="154"/>
      <c r="AN259" s="155"/>
      <c r="AP259" s="155"/>
    </row>
    <row r="260">
      <c r="A260" s="154"/>
      <c r="AN260" s="155"/>
      <c r="AP260" s="155"/>
    </row>
    <row r="261">
      <c r="A261" s="154"/>
      <c r="AN261" s="155"/>
      <c r="AP261" s="155"/>
    </row>
    <row r="262">
      <c r="A262" s="154"/>
      <c r="AN262" s="155"/>
      <c r="AP262" s="155"/>
    </row>
    <row r="263">
      <c r="A263" s="154"/>
      <c r="AN263" s="155"/>
      <c r="AP263" s="155"/>
    </row>
    <row r="264">
      <c r="A264" s="154"/>
      <c r="AN264" s="155"/>
      <c r="AP264" s="155"/>
    </row>
    <row r="265">
      <c r="A265" s="154"/>
      <c r="AN265" s="155"/>
      <c r="AP265" s="155"/>
    </row>
    <row r="266">
      <c r="A266" s="154"/>
      <c r="AN266" s="155"/>
      <c r="AP266" s="155"/>
    </row>
    <row r="267">
      <c r="A267" s="154"/>
      <c r="AN267" s="155"/>
      <c r="AP267" s="155"/>
    </row>
    <row r="268">
      <c r="A268" s="154"/>
      <c r="AN268" s="155"/>
      <c r="AP268" s="155"/>
    </row>
    <row r="269">
      <c r="A269" s="154"/>
      <c r="AN269" s="155"/>
      <c r="AP269" s="155"/>
    </row>
    <row r="270">
      <c r="A270" s="154"/>
      <c r="AN270" s="155"/>
      <c r="AP270" s="155"/>
    </row>
    <row r="271">
      <c r="A271" s="154"/>
      <c r="AN271" s="155"/>
      <c r="AP271" s="155"/>
    </row>
    <row r="272">
      <c r="A272" s="154"/>
      <c r="AN272" s="155"/>
      <c r="AP272" s="155"/>
    </row>
    <row r="273">
      <c r="A273" s="154"/>
      <c r="AN273" s="155"/>
      <c r="AP273" s="155"/>
    </row>
    <row r="274">
      <c r="A274" s="154"/>
      <c r="AN274" s="155"/>
      <c r="AP274" s="155"/>
    </row>
    <row r="275">
      <c r="A275" s="154"/>
      <c r="AN275" s="155"/>
      <c r="AP275" s="155"/>
    </row>
    <row r="276">
      <c r="A276" s="154"/>
      <c r="AN276" s="155"/>
      <c r="AP276" s="155"/>
    </row>
    <row r="277">
      <c r="A277" s="154"/>
      <c r="AN277" s="155"/>
      <c r="AP277" s="155"/>
    </row>
    <row r="278">
      <c r="A278" s="154"/>
      <c r="AN278" s="155"/>
      <c r="AP278" s="155"/>
    </row>
    <row r="279">
      <c r="A279" s="154"/>
      <c r="AN279" s="155"/>
      <c r="AP279" s="155"/>
    </row>
    <row r="280">
      <c r="A280" s="154"/>
      <c r="AN280" s="155"/>
      <c r="AP280" s="155"/>
    </row>
    <row r="281">
      <c r="A281" s="154"/>
      <c r="AN281" s="155"/>
      <c r="AP281" s="155"/>
    </row>
    <row r="282">
      <c r="A282" s="154"/>
      <c r="AN282" s="155"/>
      <c r="AP282" s="155"/>
    </row>
    <row r="283">
      <c r="A283" s="154"/>
      <c r="AN283" s="155"/>
      <c r="AP283" s="155"/>
    </row>
    <row r="284">
      <c r="A284" s="154"/>
      <c r="AN284" s="155"/>
      <c r="AP284" s="155"/>
    </row>
    <row r="285">
      <c r="A285" s="154"/>
      <c r="AN285" s="155"/>
      <c r="AP285" s="155"/>
    </row>
    <row r="286">
      <c r="A286" s="154"/>
      <c r="AN286" s="155"/>
      <c r="AP286" s="155"/>
    </row>
    <row r="287">
      <c r="A287" s="154"/>
      <c r="AN287" s="155"/>
      <c r="AP287" s="155"/>
    </row>
    <row r="288">
      <c r="A288" s="154"/>
      <c r="AN288" s="155"/>
      <c r="AP288" s="155"/>
    </row>
    <row r="289">
      <c r="A289" s="154"/>
      <c r="AN289" s="155"/>
      <c r="AP289" s="155"/>
    </row>
    <row r="290">
      <c r="A290" s="154"/>
      <c r="AN290" s="155"/>
      <c r="AP290" s="155"/>
    </row>
    <row r="291">
      <c r="A291" s="154"/>
      <c r="AN291" s="155"/>
      <c r="AP291" s="155"/>
    </row>
    <row r="292">
      <c r="A292" s="154"/>
      <c r="AN292" s="155"/>
      <c r="AP292" s="155"/>
    </row>
    <row r="293">
      <c r="A293" s="154"/>
      <c r="AN293" s="155"/>
      <c r="AP293" s="155"/>
    </row>
    <row r="294">
      <c r="A294" s="154"/>
      <c r="AN294" s="155"/>
      <c r="AP294" s="155"/>
    </row>
    <row r="295">
      <c r="A295" s="154"/>
      <c r="AN295" s="155"/>
      <c r="AP295" s="155"/>
    </row>
    <row r="296">
      <c r="A296" s="154"/>
      <c r="AN296" s="155"/>
      <c r="AP296" s="155"/>
    </row>
    <row r="297">
      <c r="A297" s="154"/>
      <c r="AN297" s="155"/>
      <c r="AP297" s="155"/>
    </row>
    <row r="298">
      <c r="A298" s="154"/>
      <c r="AN298" s="155"/>
      <c r="AP298" s="155"/>
    </row>
    <row r="299">
      <c r="A299" s="154"/>
      <c r="AN299" s="155"/>
      <c r="AP299" s="155"/>
    </row>
    <row r="300">
      <c r="A300" s="154"/>
      <c r="AN300" s="155"/>
      <c r="AP300" s="155"/>
    </row>
    <row r="301">
      <c r="A301" s="154"/>
      <c r="AN301" s="155"/>
      <c r="AP301" s="155"/>
    </row>
    <row r="302">
      <c r="A302" s="154"/>
      <c r="AN302" s="155"/>
      <c r="AP302" s="155"/>
    </row>
    <row r="303">
      <c r="A303" s="154"/>
      <c r="AN303" s="155"/>
      <c r="AP303" s="155"/>
    </row>
    <row r="304">
      <c r="A304" s="154"/>
      <c r="AN304" s="155"/>
      <c r="AP304" s="155"/>
    </row>
    <row r="305">
      <c r="A305" s="154"/>
      <c r="AN305" s="155"/>
      <c r="AP305" s="155"/>
    </row>
    <row r="306">
      <c r="A306" s="154"/>
      <c r="AN306" s="155"/>
      <c r="AP306" s="155"/>
    </row>
    <row r="307">
      <c r="A307" s="154"/>
      <c r="AN307" s="155"/>
      <c r="AP307" s="155"/>
    </row>
    <row r="308">
      <c r="A308" s="154"/>
      <c r="AN308" s="155"/>
      <c r="AP308" s="155"/>
    </row>
    <row r="309">
      <c r="A309" s="154"/>
      <c r="AN309" s="155"/>
      <c r="AP309" s="155"/>
    </row>
    <row r="310">
      <c r="A310" s="154"/>
      <c r="AN310" s="155"/>
      <c r="AP310" s="155"/>
    </row>
    <row r="311">
      <c r="A311" s="154"/>
      <c r="AN311" s="155"/>
      <c r="AP311" s="155"/>
    </row>
    <row r="312">
      <c r="A312" s="154"/>
      <c r="AN312" s="155"/>
      <c r="AP312" s="155"/>
    </row>
    <row r="313">
      <c r="A313" s="154"/>
      <c r="AN313" s="155"/>
      <c r="AP313" s="155"/>
    </row>
    <row r="314">
      <c r="A314" s="154"/>
      <c r="AN314" s="155"/>
      <c r="AP314" s="155"/>
    </row>
    <row r="315">
      <c r="A315" s="154"/>
      <c r="AN315" s="155"/>
      <c r="AP315" s="155"/>
    </row>
    <row r="316">
      <c r="A316" s="154"/>
      <c r="AN316" s="155"/>
      <c r="AP316" s="155"/>
    </row>
    <row r="317">
      <c r="A317" s="154"/>
      <c r="AN317" s="155"/>
      <c r="AP317" s="155"/>
    </row>
    <row r="318">
      <c r="A318" s="154"/>
      <c r="AN318" s="155"/>
      <c r="AP318" s="155"/>
    </row>
    <row r="319">
      <c r="A319" s="154"/>
      <c r="AN319" s="155"/>
      <c r="AP319" s="155"/>
    </row>
    <row r="320">
      <c r="A320" s="154"/>
      <c r="AN320" s="155"/>
      <c r="AP320" s="155"/>
    </row>
    <row r="321">
      <c r="A321" s="154"/>
      <c r="AN321" s="155"/>
      <c r="AP321" s="155"/>
    </row>
    <row r="322">
      <c r="A322" s="154"/>
      <c r="AN322" s="155"/>
      <c r="AP322" s="155"/>
    </row>
    <row r="323">
      <c r="A323" s="154"/>
      <c r="AN323" s="155"/>
      <c r="AP323" s="155"/>
    </row>
    <row r="324">
      <c r="A324" s="154"/>
      <c r="AN324" s="155"/>
      <c r="AP324" s="155"/>
    </row>
    <row r="325">
      <c r="A325" s="154"/>
      <c r="AN325" s="155"/>
      <c r="AP325" s="155"/>
    </row>
    <row r="326">
      <c r="A326" s="154"/>
      <c r="AN326" s="155"/>
      <c r="AP326" s="155"/>
    </row>
    <row r="327">
      <c r="A327" s="154"/>
      <c r="AN327" s="155"/>
      <c r="AP327" s="155"/>
    </row>
    <row r="328">
      <c r="A328" s="154"/>
      <c r="AN328" s="155"/>
      <c r="AP328" s="155"/>
    </row>
    <row r="329">
      <c r="A329" s="154"/>
      <c r="AN329" s="155"/>
      <c r="AP329" s="155"/>
    </row>
    <row r="330">
      <c r="A330" s="154"/>
      <c r="AN330" s="155"/>
      <c r="AP330" s="155"/>
    </row>
    <row r="331">
      <c r="A331" s="154"/>
      <c r="AN331" s="155"/>
      <c r="AP331" s="155"/>
    </row>
    <row r="332">
      <c r="A332" s="154"/>
      <c r="AN332" s="155"/>
      <c r="AP332" s="155"/>
    </row>
    <row r="333">
      <c r="A333" s="154"/>
      <c r="AN333" s="155"/>
      <c r="AP333" s="155"/>
    </row>
    <row r="334">
      <c r="A334" s="154"/>
      <c r="AN334" s="155"/>
      <c r="AP334" s="155"/>
    </row>
    <row r="335">
      <c r="A335" s="154"/>
      <c r="AN335" s="155"/>
      <c r="AP335" s="155"/>
    </row>
    <row r="336">
      <c r="A336" s="154"/>
      <c r="AN336" s="155"/>
      <c r="AP336" s="155"/>
    </row>
    <row r="337">
      <c r="A337" s="154"/>
      <c r="AN337" s="155"/>
      <c r="AP337" s="155"/>
    </row>
    <row r="338">
      <c r="A338" s="154"/>
      <c r="AN338" s="155"/>
      <c r="AP338" s="155"/>
    </row>
    <row r="339">
      <c r="A339" s="154"/>
      <c r="AN339" s="155"/>
      <c r="AP339" s="155"/>
    </row>
    <row r="340">
      <c r="A340" s="154"/>
      <c r="AN340" s="155"/>
      <c r="AP340" s="155"/>
    </row>
    <row r="341">
      <c r="A341" s="154"/>
      <c r="AN341" s="155"/>
      <c r="AP341" s="155"/>
    </row>
    <row r="342">
      <c r="A342" s="154"/>
      <c r="AN342" s="155"/>
      <c r="AP342" s="155"/>
    </row>
    <row r="343">
      <c r="A343" s="154"/>
      <c r="AN343" s="155"/>
      <c r="AP343" s="155"/>
    </row>
    <row r="344">
      <c r="A344" s="154"/>
      <c r="AN344" s="155"/>
      <c r="AP344" s="155"/>
    </row>
    <row r="345">
      <c r="A345" s="154"/>
      <c r="AN345" s="155"/>
      <c r="AP345" s="155"/>
    </row>
    <row r="346">
      <c r="A346" s="154"/>
      <c r="AN346" s="155"/>
      <c r="AP346" s="155"/>
    </row>
    <row r="347">
      <c r="A347" s="154"/>
      <c r="AN347" s="155"/>
      <c r="AP347" s="155"/>
    </row>
    <row r="348">
      <c r="A348" s="154"/>
      <c r="AN348" s="155"/>
      <c r="AP348" s="155"/>
    </row>
    <row r="349">
      <c r="A349" s="154"/>
      <c r="AN349" s="155"/>
      <c r="AP349" s="155"/>
    </row>
    <row r="350">
      <c r="A350" s="154"/>
      <c r="AN350" s="155"/>
      <c r="AP350" s="155"/>
    </row>
    <row r="351">
      <c r="A351" s="154"/>
      <c r="AN351" s="155"/>
      <c r="AP351" s="155"/>
    </row>
    <row r="352">
      <c r="A352" s="154"/>
      <c r="AN352" s="155"/>
      <c r="AP352" s="155"/>
    </row>
    <row r="353">
      <c r="A353" s="154"/>
      <c r="AN353" s="155"/>
      <c r="AP353" s="155"/>
    </row>
    <row r="354">
      <c r="A354" s="154"/>
      <c r="AN354" s="155"/>
      <c r="AP354" s="155"/>
    </row>
    <row r="355">
      <c r="A355" s="154"/>
      <c r="AN355" s="155"/>
      <c r="AP355" s="155"/>
    </row>
    <row r="356">
      <c r="A356" s="154"/>
      <c r="AN356" s="155"/>
      <c r="AP356" s="155"/>
    </row>
    <row r="357">
      <c r="A357" s="154"/>
      <c r="AN357" s="155"/>
      <c r="AP357" s="155"/>
    </row>
    <row r="358">
      <c r="A358" s="154"/>
      <c r="AN358" s="155"/>
      <c r="AP358" s="155"/>
    </row>
    <row r="359">
      <c r="A359" s="154"/>
      <c r="AN359" s="155"/>
      <c r="AP359" s="155"/>
    </row>
    <row r="360">
      <c r="A360" s="154"/>
      <c r="AN360" s="155"/>
      <c r="AP360" s="155"/>
    </row>
    <row r="361">
      <c r="A361" s="154"/>
      <c r="AN361" s="155"/>
      <c r="AP361" s="155"/>
    </row>
    <row r="362">
      <c r="A362" s="154"/>
      <c r="AN362" s="155"/>
      <c r="AP362" s="155"/>
    </row>
    <row r="363">
      <c r="A363" s="154"/>
      <c r="AN363" s="155"/>
      <c r="AP363" s="155"/>
    </row>
    <row r="364">
      <c r="A364" s="154"/>
      <c r="AN364" s="155"/>
      <c r="AP364" s="155"/>
    </row>
    <row r="365">
      <c r="A365" s="154"/>
      <c r="AN365" s="155"/>
      <c r="AP365" s="155"/>
    </row>
    <row r="366">
      <c r="A366" s="154"/>
      <c r="AN366" s="155"/>
      <c r="AP366" s="155"/>
    </row>
    <row r="367">
      <c r="A367" s="154"/>
      <c r="AN367" s="155"/>
      <c r="AP367" s="155"/>
    </row>
    <row r="368">
      <c r="A368" s="154"/>
      <c r="AN368" s="155"/>
      <c r="AP368" s="155"/>
    </row>
    <row r="369">
      <c r="A369" s="154"/>
      <c r="AN369" s="155"/>
      <c r="AP369" s="155"/>
    </row>
    <row r="370">
      <c r="A370" s="154"/>
      <c r="AN370" s="155"/>
      <c r="AP370" s="155"/>
    </row>
    <row r="371">
      <c r="A371" s="154"/>
      <c r="AN371" s="155"/>
      <c r="AP371" s="155"/>
    </row>
    <row r="372">
      <c r="A372" s="154"/>
      <c r="AN372" s="155"/>
      <c r="AP372" s="155"/>
    </row>
    <row r="373">
      <c r="A373" s="154"/>
      <c r="AN373" s="155"/>
      <c r="AP373" s="155"/>
    </row>
    <row r="374">
      <c r="A374" s="154"/>
      <c r="AN374" s="155"/>
      <c r="AP374" s="155"/>
    </row>
    <row r="375">
      <c r="A375" s="154"/>
      <c r="AN375" s="155"/>
      <c r="AP375" s="155"/>
    </row>
    <row r="376">
      <c r="A376" s="154"/>
      <c r="AN376" s="155"/>
      <c r="AP376" s="155"/>
    </row>
    <row r="377">
      <c r="A377" s="154"/>
      <c r="AN377" s="155"/>
      <c r="AP377" s="155"/>
    </row>
    <row r="378">
      <c r="A378" s="154"/>
      <c r="AN378" s="155"/>
      <c r="AP378" s="155"/>
    </row>
    <row r="379">
      <c r="A379" s="154"/>
      <c r="AN379" s="155"/>
      <c r="AP379" s="155"/>
    </row>
    <row r="380">
      <c r="A380" s="154"/>
      <c r="AN380" s="155"/>
      <c r="AP380" s="155"/>
    </row>
    <row r="381">
      <c r="A381" s="154"/>
      <c r="AN381" s="155"/>
      <c r="AP381" s="155"/>
    </row>
    <row r="382">
      <c r="A382" s="154"/>
      <c r="AN382" s="155"/>
      <c r="AP382" s="155"/>
    </row>
    <row r="383">
      <c r="A383" s="154"/>
      <c r="AN383" s="155"/>
      <c r="AP383" s="155"/>
    </row>
    <row r="384">
      <c r="A384" s="154"/>
      <c r="AN384" s="155"/>
      <c r="AP384" s="155"/>
    </row>
    <row r="385">
      <c r="A385" s="154"/>
      <c r="AN385" s="155"/>
      <c r="AP385" s="155"/>
    </row>
    <row r="386">
      <c r="A386" s="154"/>
      <c r="AN386" s="155"/>
      <c r="AP386" s="155"/>
    </row>
    <row r="387">
      <c r="A387" s="154"/>
      <c r="AN387" s="155"/>
      <c r="AP387" s="155"/>
    </row>
    <row r="388">
      <c r="A388" s="154"/>
      <c r="AN388" s="155"/>
      <c r="AP388" s="155"/>
    </row>
    <row r="389">
      <c r="A389" s="154"/>
      <c r="AN389" s="155"/>
      <c r="AP389" s="155"/>
    </row>
    <row r="390">
      <c r="A390" s="154"/>
      <c r="AN390" s="155"/>
      <c r="AP390" s="155"/>
    </row>
    <row r="391">
      <c r="A391" s="154"/>
      <c r="AN391" s="155"/>
      <c r="AP391" s="155"/>
    </row>
    <row r="392">
      <c r="A392" s="154"/>
      <c r="AN392" s="155"/>
      <c r="AP392" s="155"/>
    </row>
    <row r="393">
      <c r="A393" s="154"/>
      <c r="AN393" s="155"/>
      <c r="AP393" s="155"/>
    </row>
    <row r="394">
      <c r="A394" s="154"/>
      <c r="AN394" s="155"/>
      <c r="AP394" s="155"/>
    </row>
    <row r="395">
      <c r="A395" s="154"/>
      <c r="AN395" s="155"/>
      <c r="AP395" s="155"/>
    </row>
    <row r="396">
      <c r="A396" s="154"/>
      <c r="AN396" s="155"/>
      <c r="AP396" s="155"/>
    </row>
    <row r="397">
      <c r="A397" s="154"/>
      <c r="AN397" s="155"/>
      <c r="AP397" s="155"/>
    </row>
    <row r="398">
      <c r="A398" s="154"/>
      <c r="AN398" s="155"/>
      <c r="AP398" s="155"/>
    </row>
    <row r="399">
      <c r="A399" s="154"/>
      <c r="AN399" s="155"/>
      <c r="AP399" s="155"/>
    </row>
    <row r="400">
      <c r="A400" s="154"/>
      <c r="AN400" s="155"/>
      <c r="AP400" s="155"/>
    </row>
    <row r="401">
      <c r="A401" s="154"/>
      <c r="AN401" s="155"/>
      <c r="AP401" s="155"/>
    </row>
    <row r="402">
      <c r="A402" s="154"/>
      <c r="AN402" s="155"/>
      <c r="AP402" s="155"/>
    </row>
    <row r="403">
      <c r="A403" s="154"/>
      <c r="AN403" s="155"/>
      <c r="AP403" s="155"/>
    </row>
    <row r="404">
      <c r="A404" s="154"/>
      <c r="AN404" s="155"/>
      <c r="AP404" s="155"/>
    </row>
    <row r="405">
      <c r="A405" s="154"/>
      <c r="AN405" s="155"/>
      <c r="AP405" s="155"/>
    </row>
    <row r="406">
      <c r="A406" s="154"/>
      <c r="AN406" s="155"/>
      <c r="AP406" s="155"/>
    </row>
    <row r="407">
      <c r="A407" s="154"/>
      <c r="AN407" s="155"/>
      <c r="AP407" s="155"/>
    </row>
    <row r="408">
      <c r="A408" s="154"/>
      <c r="AN408" s="155"/>
      <c r="AP408" s="155"/>
    </row>
    <row r="409">
      <c r="A409" s="154"/>
      <c r="AN409" s="155"/>
      <c r="AP409" s="155"/>
    </row>
    <row r="410">
      <c r="A410" s="154"/>
      <c r="AN410" s="155"/>
      <c r="AP410" s="155"/>
    </row>
    <row r="411">
      <c r="A411" s="154"/>
      <c r="AN411" s="155"/>
      <c r="AP411" s="155"/>
    </row>
    <row r="412">
      <c r="A412" s="154"/>
      <c r="AN412" s="155"/>
      <c r="AP412" s="155"/>
    </row>
    <row r="413">
      <c r="A413" s="154"/>
      <c r="AN413" s="155"/>
      <c r="AP413" s="155"/>
    </row>
    <row r="414">
      <c r="A414" s="154"/>
      <c r="AN414" s="155"/>
      <c r="AP414" s="155"/>
    </row>
    <row r="415">
      <c r="A415" s="154"/>
      <c r="AN415" s="155"/>
      <c r="AP415" s="155"/>
    </row>
    <row r="416">
      <c r="A416" s="154"/>
      <c r="AN416" s="155"/>
      <c r="AP416" s="155"/>
    </row>
    <row r="417">
      <c r="A417" s="154"/>
      <c r="AN417" s="155"/>
      <c r="AP417" s="155"/>
    </row>
    <row r="418">
      <c r="A418" s="154"/>
      <c r="AN418" s="155"/>
      <c r="AP418" s="155"/>
    </row>
    <row r="419">
      <c r="A419" s="154"/>
      <c r="AN419" s="155"/>
      <c r="AP419" s="155"/>
    </row>
    <row r="420">
      <c r="A420" s="154"/>
      <c r="AN420" s="155"/>
      <c r="AP420" s="155"/>
    </row>
    <row r="421">
      <c r="A421" s="154"/>
      <c r="AN421" s="155"/>
      <c r="AP421" s="155"/>
    </row>
    <row r="422">
      <c r="A422" s="154"/>
      <c r="AN422" s="155"/>
      <c r="AP422" s="155"/>
    </row>
    <row r="423">
      <c r="A423" s="154"/>
      <c r="AN423" s="155"/>
      <c r="AP423" s="155"/>
    </row>
    <row r="424">
      <c r="A424" s="154"/>
      <c r="AN424" s="155"/>
      <c r="AP424" s="155"/>
    </row>
    <row r="425">
      <c r="A425" s="154"/>
      <c r="AN425" s="155"/>
      <c r="AP425" s="155"/>
    </row>
    <row r="426">
      <c r="A426" s="154"/>
      <c r="AN426" s="155"/>
      <c r="AP426" s="155"/>
    </row>
    <row r="427">
      <c r="A427" s="154"/>
      <c r="AN427" s="155"/>
      <c r="AP427" s="155"/>
    </row>
    <row r="428">
      <c r="A428" s="154"/>
      <c r="AN428" s="155"/>
      <c r="AP428" s="155"/>
    </row>
    <row r="429">
      <c r="A429" s="154"/>
      <c r="AN429" s="155"/>
      <c r="AP429" s="155"/>
    </row>
    <row r="430">
      <c r="A430" s="154"/>
      <c r="AN430" s="155"/>
      <c r="AP430" s="155"/>
    </row>
    <row r="431">
      <c r="A431" s="154"/>
      <c r="AN431" s="155"/>
      <c r="AP431" s="155"/>
    </row>
    <row r="432">
      <c r="A432" s="154"/>
      <c r="AN432" s="155"/>
      <c r="AP432" s="155"/>
    </row>
    <row r="433">
      <c r="A433" s="154"/>
      <c r="AN433" s="155"/>
      <c r="AP433" s="155"/>
    </row>
    <row r="434">
      <c r="A434" s="154"/>
      <c r="AN434" s="155"/>
      <c r="AP434" s="155"/>
    </row>
    <row r="435">
      <c r="A435" s="154"/>
      <c r="AN435" s="155"/>
      <c r="AP435" s="155"/>
    </row>
    <row r="436">
      <c r="A436" s="154"/>
      <c r="AN436" s="155"/>
      <c r="AP436" s="155"/>
    </row>
    <row r="437">
      <c r="A437" s="154"/>
      <c r="AN437" s="155"/>
      <c r="AP437" s="155"/>
    </row>
    <row r="438">
      <c r="A438" s="154"/>
      <c r="AN438" s="155"/>
      <c r="AP438" s="155"/>
    </row>
    <row r="439">
      <c r="A439" s="154"/>
      <c r="AN439" s="155"/>
      <c r="AP439" s="155"/>
    </row>
    <row r="440">
      <c r="A440" s="154"/>
      <c r="AN440" s="155"/>
      <c r="AP440" s="155"/>
    </row>
    <row r="441">
      <c r="A441" s="154"/>
      <c r="AN441" s="155"/>
      <c r="AP441" s="155"/>
    </row>
    <row r="442">
      <c r="A442" s="154"/>
      <c r="AN442" s="155"/>
      <c r="AP442" s="155"/>
    </row>
    <row r="443">
      <c r="A443" s="154"/>
      <c r="AN443" s="155"/>
      <c r="AP443" s="155"/>
    </row>
    <row r="444">
      <c r="A444" s="154"/>
      <c r="AN444" s="155"/>
      <c r="AP444" s="155"/>
    </row>
    <row r="445">
      <c r="A445" s="154"/>
      <c r="AN445" s="155"/>
      <c r="AP445" s="155"/>
    </row>
    <row r="446">
      <c r="A446" s="154"/>
      <c r="AN446" s="155"/>
      <c r="AP446" s="155"/>
    </row>
    <row r="447">
      <c r="A447" s="154"/>
      <c r="AN447" s="155"/>
      <c r="AP447" s="155"/>
    </row>
    <row r="448">
      <c r="A448" s="154"/>
      <c r="AN448" s="155"/>
      <c r="AP448" s="155"/>
    </row>
    <row r="449">
      <c r="A449" s="154"/>
      <c r="AN449" s="155"/>
      <c r="AP449" s="155"/>
    </row>
    <row r="450">
      <c r="A450" s="154"/>
      <c r="AN450" s="155"/>
      <c r="AP450" s="155"/>
    </row>
    <row r="451">
      <c r="A451" s="154"/>
      <c r="AN451" s="155"/>
      <c r="AP451" s="155"/>
    </row>
    <row r="452">
      <c r="A452" s="154"/>
      <c r="AN452" s="155"/>
      <c r="AP452" s="155"/>
    </row>
    <row r="453">
      <c r="A453" s="154"/>
      <c r="AN453" s="155"/>
      <c r="AP453" s="155"/>
    </row>
    <row r="454">
      <c r="A454" s="154"/>
      <c r="AN454" s="155"/>
      <c r="AP454" s="155"/>
    </row>
    <row r="455">
      <c r="A455" s="154"/>
      <c r="AN455" s="155"/>
      <c r="AP455" s="155"/>
    </row>
    <row r="456">
      <c r="A456" s="154"/>
      <c r="AN456" s="155"/>
      <c r="AP456" s="155"/>
    </row>
    <row r="457">
      <c r="A457" s="154"/>
      <c r="AN457" s="155"/>
      <c r="AP457" s="155"/>
    </row>
    <row r="458">
      <c r="A458" s="154"/>
      <c r="AN458" s="155"/>
      <c r="AP458" s="155"/>
    </row>
    <row r="459">
      <c r="A459" s="154"/>
      <c r="AN459" s="155"/>
      <c r="AP459" s="155"/>
    </row>
    <row r="460">
      <c r="A460" s="154"/>
      <c r="AN460" s="155"/>
      <c r="AP460" s="155"/>
    </row>
    <row r="461">
      <c r="A461" s="154"/>
      <c r="AN461" s="155"/>
      <c r="AP461" s="155"/>
    </row>
    <row r="462">
      <c r="A462" s="154"/>
      <c r="AN462" s="155"/>
      <c r="AP462" s="155"/>
    </row>
    <row r="463">
      <c r="A463" s="154"/>
      <c r="AN463" s="155"/>
      <c r="AP463" s="155"/>
    </row>
    <row r="464">
      <c r="A464" s="154"/>
      <c r="AN464" s="155"/>
      <c r="AP464" s="155"/>
    </row>
    <row r="465">
      <c r="A465" s="154"/>
      <c r="AN465" s="155"/>
      <c r="AP465" s="155"/>
    </row>
    <row r="466">
      <c r="A466" s="154"/>
      <c r="AN466" s="155"/>
      <c r="AP466" s="155"/>
    </row>
    <row r="467">
      <c r="A467" s="154"/>
      <c r="AN467" s="155"/>
      <c r="AP467" s="155"/>
    </row>
    <row r="468">
      <c r="A468" s="154"/>
      <c r="AN468" s="155"/>
      <c r="AP468" s="155"/>
    </row>
    <row r="469">
      <c r="A469" s="154"/>
      <c r="AN469" s="155"/>
      <c r="AP469" s="155"/>
    </row>
    <row r="470">
      <c r="A470" s="154"/>
      <c r="AN470" s="155"/>
      <c r="AP470" s="155"/>
    </row>
    <row r="471">
      <c r="A471" s="154"/>
      <c r="AN471" s="155"/>
      <c r="AP471" s="155"/>
    </row>
    <row r="472">
      <c r="A472" s="154"/>
      <c r="AN472" s="155"/>
      <c r="AP472" s="155"/>
    </row>
    <row r="473">
      <c r="A473" s="154"/>
      <c r="AN473" s="155"/>
      <c r="AP473" s="155"/>
    </row>
    <row r="474">
      <c r="A474" s="154"/>
      <c r="AN474" s="155"/>
      <c r="AP474" s="155"/>
    </row>
    <row r="475">
      <c r="A475" s="154"/>
      <c r="AN475" s="155"/>
      <c r="AP475" s="155"/>
    </row>
    <row r="476">
      <c r="A476" s="154"/>
      <c r="AN476" s="155"/>
      <c r="AP476" s="155"/>
    </row>
    <row r="477">
      <c r="A477" s="154"/>
      <c r="AN477" s="155"/>
      <c r="AP477" s="155"/>
    </row>
    <row r="478">
      <c r="A478" s="154"/>
      <c r="AN478" s="155"/>
      <c r="AP478" s="155"/>
    </row>
    <row r="479">
      <c r="A479" s="154"/>
      <c r="AN479" s="155"/>
      <c r="AP479" s="155"/>
    </row>
    <row r="480">
      <c r="A480" s="154"/>
      <c r="AN480" s="155"/>
      <c r="AP480" s="155"/>
    </row>
    <row r="481">
      <c r="A481" s="154"/>
      <c r="AN481" s="155"/>
      <c r="AP481" s="155"/>
    </row>
    <row r="482">
      <c r="A482" s="154"/>
      <c r="AN482" s="155"/>
      <c r="AP482" s="155"/>
    </row>
    <row r="483">
      <c r="A483" s="154"/>
      <c r="AN483" s="155"/>
      <c r="AP483" s="155"/>
    </row>
    <row r="484">
      <c r="A484" s="154"/>
      <c r="AN484" s="155"/>
      <c r="AP484" s="155"/>
    </row>
    <row r="485">
      <c r="A485" s="154"/>
      <c r="AN485" s="155"/>
      <c r="AP485" s="155"/>
    </row>
    <row r="486">
      <c r="A486" s="154"/>
      <c r="AN486" s="155"/>
      <c r="AP486" s="155"/>
    </row>
    <row r="487">
      <c r="A487" s="154"/>
      <c r="AN487" s="155"/>
      <c r="AP487" s="155"/>
    </row>
    <row r="488">
      <c r="A488" s="154"/>
      <c r="AN488" s="155"/>
      <c r="AP488" s="155"/>
    </row>
    <row r="489">
      <c r="A489" s="154"/>
      <c r="AN489" s="155"/>
      <c r="AP489" s="155"/>
    </row>
    <row r="490">
      <c r="A490" s="154"/>
      <c r="AN490" s="155"/>
      <c r="AP490" s="155"/>
    </row>
    <row r="491">
      <c r="A491" s="154"/>
      <c r="AN491" s="155"/>
      <c r="AP491" s="155"/>
    </row>
    <row r="492">
      <c r="A492" s="154"/>
      <c r="AN492" s="155"/>
      <c r="AP492" s="155"/>
    </row>
    <row r="493">
      <c r="A493" s="154"/>
      <c r="AN493" s="155"/>
      <c r="AP493" s="155"/>
    </row>
    <row r="494">
      <c r="A494" s="154"/>
      <c r="AN494" s="155"/>
      <c r="AP494" s="155"/>
    </row>
    <row r="495">
      <c r="A495" s="154"/>
      <c r="AN495" s="155"/>
      <c r="AP495" s="155"/>
    </row>
    <row r="496">
      <c r="A496" s="154"/>
      <c r="AN496" s="155"/>
      <c r="AP496" s="155"/>
    </row>
    <row r="497">
      <c r="A497" s="154"/>
      <c r="AN497" s="155"/>
      <c r="AP497" s="155"/>
    </row>
    <row r="498">
      <c r="A498" s="154"/>
      <c r="AN498" s="155"/>
      <c r="AP498" s="155"/>
    </row>
    <row r="499">
      <c r="A499" s="154"/>
      <c r="AN499" s="155"/>
      <c r="AP499" s="155"/>
    </row>
    <row r="500">
      <c r="A500" s="154"/>
      <c r="AN500" s="155"/>
      <c r="AP500" s="155"/>
    </row>
    <row r="501">
      <c r="A501" s="154"/>
      <c r="AN501" s="155"/>
      <c r="AP501" s="155"/>
    </row>
    <row r="502">
      <c r="A502" s="154"/>
      <c r="AN502" s="155"/>
      <c r="AP502" s="155"/>
    </row>
    <row r="503">
      <c r="A503" s="154"/>
      <c r="AN503" s="155"/>
      <c r="AP503" s="155"/>
    </row>
    <row r="504">
      <c r="A504" s="154"/>
      <c r="AN504" s="155"/>
      <c r="AP504" s="155"/>
    </row>
    <row r="505">
      <c r="A505" s="154"/>
      <c r="AN505" s="155"/>
      <c r="AP505" s="155"/>
    </row>
    <row r="506">
      <c r="A506" s="154"/>
      <c r="AN506" s="155"/>
      <c r="AP506" s="155"/>
    </row>
    <row r="507">
      <c r="A507" s="154"/>
      <c r="AN507" s="155"/>
      <c r="AP507" s="155"/>
    </row>
    <row r="508">
      <c r="A508" s="154"/>
      <c r="AN508" s="155"/>
      <c r="AP508" s="155"/>
    </row>
    <row r="509">
      <c r="A509" s="154"/>
      <c r="AN509" s="155"/>
      <c r="AP509" s="155"/>
    </row>
    <row r="510">
      <c r="A510" s="154"/>
      <c r="AN510" s="155"/>
      <c r="AP510" s="155"/>
    </row>
    <row r="511">
      <c r="A511" s="154"/>
      <c r="AN511" s="155"/>
      <c r="AP511" s="155"/>
    </row>
    <row r="512">
      <c r="A512" s="154"/>
      <c r="AN512" s="155"/>
      <c r="AP512" s="155"/>
    </row>
    <row r="513">
      <c r="A513" s="154"/>
      <c r="AN513" s="155"/>
      <c r="AP513" s="155"/>
    </row>
    <row r="514">
      <c r="A514" s="154"/>
      <c r="AN514" s="155"/>
      <c r="AP514" s="155"/>
    </row>
    <row r="515">
      <c r="A515" s="154"/>
      <c r="AN515" s="155"/>
      <c r="AP515" s="155"/>
    </row>
    <row r="516">
      <c r="A516" s="154"/>
      <c r="AN516" s="155"/>
      <c r="AP516" s="155"/>
    </row>
    <row r="517">
      <c r="A517" s="154"/>
      <c r="AN517" s="155"/>
      <c r="AP517" s="155"/>
    </row>
    <row r="518">
      <c r="A518" s="154"/>
      <c r="AN518" s="155"/>
      <c r="AP518" s="155"/>
    </row>
    <row r="519">
      <c r="A519" s="154"/>
      <c r="AN519" s="155"/>
      <c r="AP519" s="155"/>
    </row>
    <row r="520">
      <c r="A520" s="154"/>
      <c r="AN520" s="155"/>
      <c r="AP520" s="155"/>
    </row>
    <row r="521">
      <c r="A521" s="154"/>
      <c r="AN521" s="155"/>
      <c r="AP521" s="155"/>
    </row>
    <row r="522">
      <c r="A522" s="154"/>
      <c r="AN522" s="155"/>
      <c r="AP522" s="155"/>
    </row>
    <row r="523">
      <c r="A523" s="154"/>
      <c r="AN523" s="155"/>
      <c r="AP523" s="155"/>
    </row>
    <row r="524">
      <c r="A524" s="154"/>
      <c r="AN524" s="155"/>
      <c r="AP524" s="155"/>
    </row>
    <row r="525">
      <c r="A525" s="154"/>
      <c r="AN525" s="155"/>
      <c r="AP525" s="155"/>
    </row>
    <row r="526">
      <c r="A526" s="154"/>
      <c r="AN526" s="155"/>
      <c r="AP526" s="155"/>
    </row>
    <row r="527">
      <c r="A527" s="154"/>
      <c r="AN527" s="155"/>
      <c r="AP527" s="155"/>
    </row>
    <row r="528">
      <c r="A528" s="154"/>
      <c r="AN528" s="155"/>
      <c r="AP528" s="155"/>
    </row>
    <row r="529">
      <c r="A529" s="154"/>
      <c r="AN529" s="155"/>
      <c r="AP529" s="155"/>
    </row>
    <row r="530">
      <c r="A530" s="154"/>
      <c r="AN530" s="155"/>
      <c r="AP530" s="155"/>
    </row>
    <row r="531">
      <c r="A531" s="154"/>
      <c r="AN531" s="155"/>
      <c r="AP531" s="155"/>
    </row>
    <row r="532">
      <c r="A532" s="154"/>
      <c r="AN532" s="155"/>
      <c r="AP532" s="155"/>
    </row>
    <row r="533">
      <c r="A533" s="154"/>
      <c r="AN533" s="155"/>
      <c r="AP533" s="155"/>
    </row>
    <row r="534">
      <c r="A534" s="154"/>
      <c r="AN534" s="155"/>
      <c r="AP534" s="155"/>
    </row>
    <row r="535">
      <c r="A535" s="154"/>
      <c r="AN535" s="155"/>
      <c r="AP535" s="155"/>
    </row>
    <row r="536">
      <c r="A536" s="154"/>
      <c r="AN536" s="155"/>
      <c r="AP536" s="155"/>
    </row>
    <row r="537">
      <c r="A537" s="154"/>
      <c r="AN537" s="155"/>
      <c r="AP537" s="155"/>
    </row>
    <row r="538">
      <c r="A538" s="154"/>
      <c r="AN538" s="155"/>
      <c r="AP538" s="155"/>
    </row>
    <row r="539">
      <c r="A539" s="154"/>
      <c r="AN539" s="155"/>
      <c r="AP539" s="155"/>
    </row>
    <row r="540">
      <c r="A540" s="154"/>
      <c r="AN540" s="155"/>
      <c r="AP540" s="155"/>
    </row>
    <row r="541">
      <c r="A541" s="154"/>
      <c r="AN541" s="155"/>
      <c r="AP541" s="155"/>
    </row>
    <row r="542">
      <c r="A542" s="154"/>
      <c r="AN542" s="155"/>
      <c r="AP542" s="155"/>
    </row>
    <row r="543">
      <c r="A543" s="154"/>
      <c r="AN543" s="155"/>
      <c r="AP543" s="155"/>
    </row>
    <row r="544">
      <c r="A544" s="154"/>
      <c r="AN544" s="155"/>
      <c r="AP544" s="155"/>
    </row>
    <row r="545">
      <c r="A545" s="154"/>
      <c r="AN545" s="155"/>
      <c r="AP545" s="155"/>
    </row>
    <row r="546">
      <c r="A546" s="154"/>
      <c r="AN546" s="155"/>
      <c r="AP546" s="155"/>
    </row>
    <row r="547">
      <c r="A547" s="154"/>
      <c r="AN547" s="155"/>
      <c r="AP547" s="155"/>
    </row>
    <row r="548">
      <c r="A548" s="154"/>
      <c r="AN548" s="155"/>
      <c r="AP548" s="155"/>
    </row>
    <row r="549">
      <c r="A549" s="154"/>
      <c r="AN549" s="155"/>
      <c r="AP549" s="155"/>
    </row>
    <row r="550">
      <c r="A550" s="154"/>
      <c r="AN550" s="155"/>
      <c r="AP550" s="155"/>
    </row>
    <row r="551">
      <c r="A551" s="154"/>
      <c r="AN551" s="155"/>
      <c r="AP551" s="155"/>
    </row>
    <row r="552">
      <c r="A552" s="154"/>
      <c r="AN552" s="155"/>
      <c r="AP552" s="155"/>
    </row>
    <row r="553">
      <c r="A553" s="154"/>
      <c r="AN553" s="155"/>
      <c r="AP553" s="155"/>
    </row>
    <row r="554">
      <c r="A554" s="154"/>
      <c r="AN554" s="155"/>
      <c r="AP554" s="155"/>
    </row>
    <row r="555">
      <c r="A555" s="154"/>
      <c r="AN555" s="155"/>
      <c r="AP555" s="155"/>
    </row>
    <row r="556">
      <c r="A556" s="154"/>
      <c r="AN556" s="155"/>
      <c r="AP556" s="155"/>
    </row>
    <row r="557">
      <c r="A557" s="154"/>
      <c r="AN557" s="155"/>
      <c r="AP557" s="155"/>
    </row>
    <row r="558">
      <c r="A558" s="154"/>
      <c r="AN558" s="155"/>
      <c r="AP558" s="155"/>
    </row>
    <row r="559">
      <c r="A559" s="154"/>
      <c r="AN559" s="155"/>
      <c r="AP559" s="155"/>
    </row>
    <row r="560">
      <c r="A560" s="154"/>
      <c r="AN560" s="155"/>
      <c r="AP560" s="155"/>
    </row>
    <row r="561">
      <c r="A561" s="154"/>
      <c r="AN561" s="155"/>
      <c r="AP561" s="155"/>
    </row>
    <row r="562">
      <c r="A562" s="154"/>
      <c r="AN562" s="155"/>
      <c r="AP562" s="155"/>
    </row>
    <row r="563">
      <c r="A563" s="154"/>
      <c r="AN563" s="155"/>
      <c r="AP563" s="155"/>
    </row>
    <row r="564">
      <c r="A564" s="154"/>
      <c r="AN564" s="155"/>
      <c r="AP564" s="155"/>
    </row>
    <row r="565">
      <c r="A565" s="154"/>
      <c r="AN565" s="155"/>
      <c r="AP565" s="155"/>
    </row>
    <row r="566">
      <c r="A566" s="154"/>
      <c r="AN566" s="155"/>
      <c r="AP566" s="155"/>
    </row>
    <row r="567">
      <c r="A567" s="154"/>
      <c r="AN567" s="155"/>
      <c r="AP567" s="155"/>
    </row>
    <row r="568">
      <c r="A568" s="154"/>
      <c r="AN568" s="155"/>
      <c r="AP568" s="155"/>
    </row>
    <row r="569">
      <c r="A569" s="154"/>
      <c r="AN569" s="155"/>
      <c r="AP569" s="155"/>
    </row>
    <row r="570">
      <c r="A570" s="154"/>
      <c r="AN570" s="155"/>
      <c r="AP570" s="155"/>
    </row>
    <row r="571">
      <c r="A571" s="154"/>
      <c r="AN571" s="155"/>
      <c r="AP571" s="155"/>
    </row>
    <row r="572">
      <c r="A572" s="154"/>
      <c r="AN572" s="155"/>
      <c r="AP572" s="155"/>
    </row>
    <row r="573">
      <c r="A573" s="154"/>
      <c r="AN573" s="155"/>
      <c r="AP573" s="155"/>
    </row>
    <row r="574">
      <c r="A574" s="154"/>
      <c r="AN574" s="155"/>
      <c r="AP574" s="155"/>
    </row>
    <row r="575">
      <c r="A575" s="154"/>
      <c r="AN575" s="155"/>
      <c r="AP575" s="155"/>
    </row>
    <row r="576">
      <c r="A576" s="154"/>
      <c r="AN576" s="155"/>
      <c r="AP576" s="155"/>
    </row>
    <row r="577">
      <c r="A577" s="154"/>
      <c r="AN577" s="155"/>
      <c r="AP577" s="155"/>
    </row>
    <row r="578">
      <c r="A578" s="154"/>
      <c r="AN578" s="155"/>
      <c r="AP578" s="155"/>
    </row>
    <row r="579">
      <c r="A579" s="154"/>
      <c r="AN579" s="155"/>
      <c r="AP579" s="155"/>
    </row>
    <row r="580">
      <c r="A580" s="154"/>
      <c r="AN580" s="155"/>
      <c r="AP580" s="155"/>
    </row>
    <row r="581">
      <c r="A581" s="154"/>
      <c r="AN581" s="155"/>
      <c r="AP581" s="155"/>
    </row>
    <row r="582">
      <c r="A582" s="154"/>
      <c r="AN582" s="155"/>
      <c r="AP582" s="155"/>
    </row>
    <row r="583">
      <c r="A583" s="154"/>
      <c r="AN583" s="155"/>
      <c r="AP583" s="155"/>
    </row>
    <row r="584">
      <c r="A584" s="154"/>
      <c r="AN584" s="155"/>
      <c r="AP584" s="155"/>
    </row>
    <row r="585">
      <c r="A585" s="154"/>
      <c r="AN585" s="155"/>
      <c r="AP585" s="155"/>
    </row>
    <row r="586">
      <c r="A586" s="154"/>
      <c r="AN586" s="155"/>
      <c r="AP586" s="155"/>
    </row>
    <row r="587">
      <c r="A587" s="154"/>
      <c r="AN587" s="155"/>
      <c r="AP587" s="155"/>
    </row>
    <row r="588">
      <c r="A588" s="154"/>
      <c r="AN588" s="155"/>
      <c r="AP588" s="155"/>
    </row>
    <row r="589">
      <c r="A589" s="154"/>
      <c r="AN589" s="155"/>
      <c r="AP589" s="155"/>
    </row>
    <row r="590">
      <c r="A590" s="154"/>
      <c r="AN590" s="155"/>
      <c r="AP590" s="155"/>
    </row>
    <row r="591">
      <c r="A591" s="154"/>
      <c r="AN591" s="155"/>
      <c r="AP591" s="155"/>
    </row>
    <row r="592">
      <c r="A592" s="154"/>
      <c r="AN592" s="155"/>
      <c r="AP592" s="155"/>
    </row>
    <row r="593">
      <c r="A593" s="154"/>
      <c r="AN593" s="155"/>
      <c r="AP593" s="155"/>
    </row>
    <row r="594">
      <c r="A594" s="154"/>
      <c r="AN594" s="155"/>
      <c r="AP594" s="155"/>
    </row>
    <row r="595">
      <c r="A595" s="154"/>
      <c r="AN595" s="155"/>
      <c r="AP595" s="155"/>
    </row>
    <row r="596">
      <c r="A596" s="154"/>
      <c r="AN596" s="155"/>
      <c r="AP596" s="155"/>
    </row>
    <row r="597">
      <c r="A597" s="154"/>
      <c r="AN597" s="155"/>
      <c r="AP597" s="155"/>
    </row>
    <row r="598">
      <c r="A598" s="154"/>
      <c r="AN598" s="155"/>
      <c r="AP598" s="155"/>
    </row>
    <row r="599">
      <c r="A599" s="154"/>
      <c r="AN599" s="155"/>
      <c r="AP599" s="155"/>
    </row>
    <row r="600">
      <c r="A600" s="154"/>
      <c r="AN600" s="155"/>
      <c r="AP600" s="155"/>
    </row>
    <row r="601">
      <c r="A601" s="154"/>
      <c r="AN601" s="155"/>
      <c r="AP601" s="155"/>
    </row>
    <row r="602">
      <c r="A602" s="154"/>
      <c r="AN602" s="155"/>
      <c r="AP602" s="155"/>
    </row>
    <row r="603">
      <c r="A603" s="154"/>
      <c r="AN603" s="155"/>
      <c r="AP603" s="155"/>
    </row>
    <row r="604">
      <c r="A604" s="154"/>
      <c r="AN604" s="155"/>
      <c r="AP604" s="155"/>
    </row>
    <row r="605">
      <c r="A605" s="154"/>
      <c r="AN605" s="155"/>
      <c r="AP605" s="155"/>
    </row>
    <row r="606">
      <c r="A606" s="154"/>
      <c r="AN606" s="155"/>
      <c r="AP606" s="155"/>
    </row>
    <row r="607">
      <c r="A607" s="154"/>
      <c r="AN607" s="155"/>
      <c r="AP607" s="155"/>
    </row>
    <row r="608">
      <c r="A608" s="154"/>
      <c r="AN608" s="155"/>
      <c r="AP608" s="155"/>
    </row>
    <row r="609">
      <c r="A609" s="154"/>
      <c r="AN609" s="155"/>
      <c r="AP609" s="155"/>
    </row>
    <row r="610">
      <c r="A610" s="154"/>
      <c r="AN610" s="155"/>
      <c r="AP610" s="155"/>
    </row>
    <row r="611">
      <c r="A611" s="154"/>
      <c r="AN611" s="155"/>
      <c r="AP611" s="155"/>
    </row>
    <row r="612">
      <c r="A612" s="154"/>
      <c r="AN612" s="155"/>
      <c r="AP612" s="155"/>
    </row>
    <row r="613">
      <c r="A613" s="154"/>
      <c r="AN613" s="155"/>
      <c r="AP613" s="155"/>
    </row>
    <row r="614">
      <c r="A614" s="154"/>
      <c r="AN614" s="155"/>
      <c r="AP614" s="155"/>
    </row>
    <row r="615">
      <c r="A615" s="154"/>
      <c r="AN615" s="155"/>
      <c r="AP615" s="155"/>
    </row>
    <row r="616">
      <c r="A616" s="154"/>
      <c r="AN616" s="155"/>
      <c r="AP616" s="155"/>
    </row>
    <row r="617">
      <c r="A617" s="154"/>
      <c r="AN617" s="155"/>
      <c r="AP617" s="155"/>
    </row>
    <row r="618">
      <c r="A618" s="154"/>
      <c r="AN618" s="155"/>
      <c r="AP618" s="155"/>
    </row>
    <row r="619">
      <c r="A619" s="154"/>
      <c r="AN619" s="155"/>
      <c r="AP619" s="155"/>
    </row>
    <row r="620">
      <c r="A620" s="154"/>
      <c r="AN620" s="155"/>
      <c r="AP620" s="155"/>
    </row>
    <row r="621">
      <c r="A621" s="154"/>
      <c r="AN621" s="155"/>
      <c r="AP621" s="155"/>
    </row>
    <row r="622">
      <c r="A622" s="154"/>
      <c r="AN622" s="155"/>
      <c r="AP622" s="155"/>
    </row>
    <row r="623">
      <c r="A623" s="154"/>
      <c r="AN623" s="155"/>
      <c r="AP623" s="155"/>
    </row>
    <row r="624">
      <c r="A624" s="154"/>
      <c r="AN624" s="155"/>
      <c r="AP624" s="155"/>
    </row>
    <row r="625">
      <c r="A625" s="154"/>
      <c r="AN625" s="155"/>
      <c r="AP625" s="155"/>
    </row>
    <row r="626">
      <c r="A626" s="154"/>
      <c r="AN626" s="155"/>
      <c r="AP626" s="155"/>
    </row>
    <row r="627">
      <c r="A627" s="154"/>
      <c r="AN627" s="155"/>
      <c r="AP627" s="155"/>
    </row>
    <row r="628">
      <c r="A628" s="154"/>
      <c r="AN628" s="155"/>
      <c r="AP628" s="155"/>
    </row>
    <row r="629">
      <c r="A629" s="154"/>
      <c r="AN629" s="155"/>
      <c r="AP629" s="155"/>
    </row>
    <row r="630">
      <c r="A630" s="154"/>
      <c r="AN630" s="155"/>
      <c r="AP630" s="155"/>
    </row>
    <row r="631">
      <c r="A631" s="154"/>
      <c r="AN631" s="155"/>
      <c r="AP631" s="155"/>
    </row>
    <row r="632">
      <c r="A632" s="154"/>
      <c r="AN632" s="155"/>
      <c r="AP632" s="155"/>
    </row>
    <row r="633">
      <c r="A633" s="154"/>
      <c r="AN633" s="155"/>
      <c r="AP633" s="155"/>
    </row>
    <row r="634">
      <c r="A634" s="154"/>
      <c r="AN634" s="155"/>
      <c r="AP634" s="155"/>
    </row>
    <row r="635">
      <c r="A635" s="154"/>
      <c r="AN635" s="155"/>
      <c r="AP635" s="155"/>
    </row>
    <row r="636">
      <c r="A636" s="154"/>
      <c r="AN636" s="155"/>
      <c r="AP636" s="155"/>
    </row>
    <row r="637">
      <c r="A637" s="154"/>
      <c r="AN637" s="155"/>
      <c r="AP637" s="155"/>
    </row>
    <row r="638">
      <c r="A638" s="154"/>
      <c r="AN638" s="155"/>
      <c r="AP638" s="155"/>
    </row>
    <row r="639">
      <c r="A639" s="154"/>
      <c r="AN639" s="155"/>
      <c r="AP639" s="155"/>
    </row>
    <row r="640">
      <c r="A640" s="154"/>
      <c r="AN640" s="155"/>
      <c r="AP640" s="155"/>
    </row>
    <row r="641">
      <c r="A641" s="154"/>
      <c r="AN641" s="155"/>
      <c r="AP641" s="155"/>
    </row>
    <row r="642">
      <c r="A642" s="154"/>
      <c r="AN642" s="155"/>
      <c r="AP642" s="155"/>
    </row>
    <row r="643">
      <c r="A643" s="154"/>
      <c r="AN643" s="155"/>
      <c r="AP643" s="155"/>
    </row>
    <row r="644">
      <c r="A644" s="154"/>
      <c r="AN644" s="155"/>
      <c r="AP644" s="155"/>
    </row>
    <row r="645">
      <c r="A645" s="154"/>
      <c r="AN645" s="155"/>
      <c r="AP645" s="155"/>
    </row>
    <row r="646">
      <c r="A646" s="154"/>
      <c r="AN646" s="155"/>
      <c r="AP646" s="155"/>
    </row>
    <row r="647">
      <c r="A647" s="154"/>
      <c r="AN647" s="155"/>
      <c r="AP647" s="155"/>
    </row>
    <row r="648">
      <c r="A648" s="154"/>
      <c r="AN648" s="155"/>
      <c r="AP648" s="155"/>
    </row>
    <row r="649">
      <c r="A649" s="154"/>
      <c r="AN649" s="155"/>
      <c r="AP649" s="155"/>
    </row>
    <row r="650">
      <c r="A650" s="154"/>
      <c r="AN650" s="155"/>
      <c r="AP650" s="155"/>
    </row>
    <row r="651">
      <c r="A651" s="154"/>
      <c r="AN651" s="155"/>
      <c r="AP651" s="155"/>
    </row>
    <row r="652">
      <c r="A652" s="154"/>
      <c r="AN652" s="155"/>
      <c r="AP652" s="155"/>
    </row>
    <row r="653">
      <c r="A653" s="154"/>
      <c r="AN653" s="155"/>
      <c r="AP653" s="155"/>
    </row>
    <row r="654">
      <c r="A654" s="154"/>
      <c r="AN654" s="155"/>
      <c r="AP654" s="155"/>
    </row>
    <row r="655">
      <c r="A655" s="154"/>
      <c r="AN655" s="155"/>
      <c r="AP655" s="155"/>
    </row>
    <row r="656">
      <c r="A656" s="154"/>
      <c r="AN656" s="155"/>
      <c r="AP656" s="155"/>
    </row>
    <row r="657">
      <c r="A657" s="154"/>
      <c r="AN657" s="155"/>
      <c r="AP657" s="155"/>
    </row>
    <row r="658">
      <c r="A658" s="154"/>
      <c r="AN658" s="155"/>
      <c r="AP658" s="155"/>
    </row>
    <row r="659">
      <c r="A659" s="154"/>
      <c r="AN659" s="155"/>
      <c r="AP659" s="155"/>
    </row>
    <row r="660">
      <c r="A660" s="154"/>
      <c r="AN660" s="155"/>
      <c r="AP660" s="155"/>
    </row>
    <row r="661">
      <c r="A661" s="154"/>
      <c r="AN661" s="155"/>
      <c r="AP661" s="155"/>
    </row>
    <row r="662">
      <c r="A662" s="154"/>
      <c r="AN662" s="155"/>
      <c r="AP662" s="155"/>
    </row>
    <row r="663">
      <c r="A663" s="154"/>
      <c r="AN663" s="155"/>
      <c r="AP663" s="155"/>
    </row>
    <row r="664">
      <c r="A664" s="154"/>
      <c r="AN664" s="155"/>
      <c r="AP664" s="155"/>
    </row>
    <row r="665">
      <c r="A665" s="154"/>
      <c r="AN665" s="155"/>
      <c r="AP665" s="155"/>
    </row>
    <row r="666">
      <c r="A666" s="154"/>
      <c r="AN666" s="155"/>
      <c r="AP666" s="155"/>
    </row>
    <row r="667">
      <c r="A667" s="154"/>
      <c r="AN667" s="155"/>
      <c r="AP667" s="155"/>
    </row>
    <row r="668">
      <c r="A668" s="154"/>
      <c r="AN668" s="155"/>
      <c r="AP668" s="155"/>
    </row>
    <row r="669">
      <c r="A669" s="154"/>
      <c r="AN669" s="155"/>
      <c r="AP669" s="155"/>
    </row>
    <row r="670">
      <c r="A670" s="154"/>
      <c r="AN670" s="155"/>
      <c r="AP670" s="155"/>
    </row>
    <row r="671">
      <c r="A671" s="154"/>
      <c r="AN671" s="155"/>
      <c r="AP671" s="155"/>
    </row>
    <row r="672">
      <c r="A672" s="154"/>
      <c r="AN672" s="155"/>
      <c r="AP672" s="155"/>
    </row>
    <row r="673">
      <c r="A673" s="154"/>
      <c r="AN673" s="155"/>
      <c r="AP673" s="155"/>
    </row>
    <row r="674">
      <c r="A674" s="154"/>
      <c r="AN674" s="155"/>
      <c r="AP674" s="155"/>
    </row>
    <row r="675">
      <c r="A675" s="154"/>
      <c r="AN675" s="155"/>
      <c r="AP675" s="155"/>
    </row>
    <row r="676">
      <c r="A676" s="154"/>
      <c r="AN676" s="155"/>
      <c r="AP676" s="155"/>
    </row>
    <row r="677">
      <c r="A677" s="154"/>
      <c r="AN677" s="155"/>
      <c r="AP677" s="155"/>
    </row>
    <row r="678">
      <c r="A678" s="154"/>
      <c r="AN678" s="155"/>
      <c r="AP678" s="155"/>
    </row>
    <row r="679">
      <c r="A679" s="154"/>
      <c r="AN679" s="155"/>
      <c r="AP679" s="155"/>
    </row>
    <row r="680">
      <c r="A680" s="154"/>
      <c r="AN680" s="155"/>
      <c r="AP680" s="155"/>
    </row>
    <row r="681">
      <c r="A681" s="154"/>
      <c r="AN681" s="155"/>
      <c r="AP681" s="155"/>
    </row>
    <row r="682">
      <c r="A682" s="154"/>
      <c r="AN682" s="155"/>
      <c r="AP682" s="155"/>
    </row>
    <row r="683">
      <c r="A683" s="154"/>
      <c r="AN683" s="155"/>
      <c r="AP683" s="155"/>
    </row>
    <row r="684">
      <c r="A684" s="154"/>
      <c r="AN684" s="155"/>
      <c r="AP684" s="155"/>
    </row>
    <row r="685">
      <c r="A685" s="154"/>
      <c r="AN685" s="155"/>
      <c r="AP685" s="155"/>
    </row>
    <row r="686">
      <c r="A686" s="154"/>
      <c r="AN686" s="155"/>
      <c r="AP686" s="155"/>
    </row>
    <row r="687">
      <c r="A687" s="154"/>
      <c r="AN687" s="155"/>
      <c r="AP687" s="155"/>
    </row>
    <row r="688">
      <c r="A688" s="154"/>
      <c r="AN688" s="155"/>
      <c r="AP688" s="155"/>
    </row>
    <row r="689">
      <c r="A689" s="154"/>
      <c r="AN689" s="155"/>
      <c r="AP689" s="155"/>
    </row>
    <row r="690">
      <c r="A690" s="154"/>
      <c r="AN690" s="155"/>
      <c r="AP690" s="155"/>
    </row>
    <row r="691">
      <c r="A691" s="154"/>
      <c r="AN691" s="155"/>
      <c r="AP691" s="155"/>
    </row>
    <row r="692">
      <c r="A692" s="154"/>
      <c r="AN692" s="155"/>
      <c r="AP692" s="155"/>
    </row>
    <row r="693">
      <c r="A693" s="154"/>
      <c r="AN693" s="155"/>
      <c r="AP693" s="155"/>
    </row>
    <row r="694">
      <c r="A694" s="154"/>
      <c r="AN694" s="155"/>
      <c r="AP694" s="155"/>
    </row>
    <row r="695">
      <c r="A695" s="154"/>
      <c r="AN695" s="155"/>
      <c r="AP695" s="155"/>
    </row>
    <row r="696">
      <c r="A696" s="154"/>
      <c r="AN696" s="155"/>
      <c r="AP696" s="155"/>
    </row>
    <row r="697">
      <c r="A697" s="154"/>
      <c r="AN697" s="155"/>
      <c r="AP697" s="155"/>
    </row>
    <row r="698">
      <c r="A698" s="154"/>
      <c r="AN698" s="155"/>
      <c r="AP698" s="155"/>
    </row>
    <row r="699">
      <c r="A699" s="154"/>
      <c r="AN699" s="155"/>
      <c r="AP699" s="155"/>
    </row>
    <row r="700">
      <c r="A700" s="154"/>
      <c r="AN700" s="155"/>
      <c r="AP700" s="155"/>
    </row>
    <row r="701">
      <c r="A701" s="154"/>
      <c r="AN701" s="155"/>
      <c r="AP701" s="155"/>
    </row>
    <row r="702">
      <c r="A702" s="154"/>
      <c r="AN702" s="155"/>
      <c r="AP702" s="155"/>
    </row>
    <row r="703">
      <c r="A703" s="154"/>
      <c r="AN703" s="155"/>
      <c r="AP703" s="155"/>
    </row>
    <row r="704">
      <c r="A704" s="154"/>
      <c r="AN704" s="155"/>
      <c r="AP704" s="155"/>
    </row>
    <row r="705">
      <c r="A705" s="154"/>
      <c r="AN705" s="155"/>
      <c r="AP705" s="155"/>
    </row>
    <row r="706">
      <c r="A706" s="154"/>
      <c r="AN706" s="155"/>
      <c r="AP706" s="155"/>
    </row>
    <row r="707">
      <c r="A707" s="154"/>
      <c r="AN707" s="155"/>
      <c r="AP707" s="155"/>
    </row>
    <row r="708">
      <c r="A708" s="154"/>
      <c r="AN708" s="155"/>
      <c r="AP708" s="155"/>
    </row>
    <row r="709">
      <c r="A709" s="154"/>
      <c r="AN709" s="155"/>
      <c r="AP709" s="155"/>
    </row>
    <row r="710">
      <c r="A710" s="154"/>
      <c r="AN710" s="155"/>
      <c r="AP710" s="155"/>
    </row>
    <row r="711">
      <c r="A711" s="154"/>
      <c r="AN711" s="155"/>
      <c r="AP711" s="155"/>
    </row>
    <row r="712">
      <c r="A712" s="154"/>
      <c r="AN712" s="155"/>
      <c r="AP712" s="155"/>
    </row>
    <row r="713">
      <c r="A713" s="154"/>
      <c r="AN713" s="155"/>
      <c r="AP713" s="155"/>
    </row>
    <row r="714">
      <c r="A714" s="154"/>
      <c r="AN714" s="155"/>
      <c r="AP714" s="155"/>
    </row>
    <row r="715">
      <c r="A715" s="154"/>
      <c r="AN715" s="155"/>
      <c r="AP715" s="155"/>
    </row>
    <row r="716">
      <c r="A716" s="154"/>
      <c r="AN716" s="155"/>
      <c r="AP716" s="155"/>
    </row>
    <row r="717">
      <c r="A717" s="154"/>
      <c r="AN717" s="155"/>
      <c r="AP717" s="155"/>
    </row>
    <row r="718">
      <c r="A718" s="154"/>
      <c r="AN718" s="155"/>
      <c r="AP718" s="155"/>
    </row>
    <row r="719">
      <c r="A719" s="154"/>
      <c r="AN719" s="155"/>
      <c r="AP719" s="155"/>
    </row>
    <row r="720">
      <c r="A720" s="154"/>
      <c r="AN720" s="155"/>
      <c r="AP720" s="155"/>
    </row>
    <row r="721">
      <c r="A721" s="154"/>
      <c r="AN721" s="155"/>
      <c r="AP721" s="155"/>
    </row>
    <row r="722">
      <c r="A722" s="154"/>
      <c r="AN722" s="155"/>
      <c r="AP722" s="155"/>
    </row>
    <row r="723">
      <c r="A723" s="154"/>
      <c r="AN723" s="155"/>
      <c r="AP723" s="155"/>
    </row>
    <row r="724">
      <c r="A724" s="154"/>
      <c r="AN724" s="155"/>
      <c r="AP724" s="155"/>
    </row>
    <row r="725">
      <c r="A725" s="154"/>
      <c r="AN725" s="155"/>
      <c r="AP725" s="155"/>
    </row>
    <row r="726">
      <c r="A726" s="154"/>
      <c r="AN726" s="155"/>
      <c r="AP726" s="155"/>
    </row>
    <row r="727">
      <c r="A727" s="154"/>
      <c r="AN727" s="155"/>
      <c r="AP727" s="155"/>
    </row>
    <row r="728">
      <c r="A728" s="154"/>
      <c r="AN728" s="155"/>
      <c r="AP728" s="155"/>
    </row>
    <row r="729">
      <c r="A729" s="154"/>
      <c r="AN729" s="155"/>
      <c r="AP729" s="155"/>
    </row>
    <row r="730">
      <c r="A730" s="154"/>
      <c r="AN730" s="155"/>
      <c r="AP730" s="155"/>
    </row>
    <row r="731">
      <c r="A731" s="154"/>
      <c r="AN731" s="155"/>
      <c r="AP731" s="155"/>
    </row>
    <row r="732">
      <c r="A732" s="154"/>
      <c r="AN732" s="155"/>
      <c r="AP732" s="155"/>
    </row>
    <row r="733">
      <c r="A733" s="154"/>
      <c r="AN733" s="155"/>
      <c r="AP733" s="155"/>
    </row>
    <row r="734">
      <c r="A734" s="154"/>
      <c r="AN734" s="155"/>
      <c r="AP734" s="155"/>
    </row>
    <row r="735">
      <c r="A735" s="154"/>
      <c r="AN735" s="155"/>
      <c r="AP735" s="155"/>
    </row>
    <row r="736">
      <c r="A736" s="154"/>
      <c r="AN736" s="155"/>
      <c r="AP736" s="155"/>
    </row>
    <row r="737">
      <c r="A737" s="154"/>
      <c r="AN737" s="155"/>
      <c r="AP737" s="155"/>
    </row>
    <row r="738">
      <c r="A738" s="154"/>
      <c r="AN738" s="155"/>
      <c r="AP738" s="155"/>
    </row>
    <row r="739">
      <c r="A739" s="154"/>
      <c r="AN739" s="155"/>
      <c r="AP739" s="155"/>
    </row>
    <row r="740">
      <c r="A740" s="154"/>
      <c r="AN740" s="155"/>
      <c r="AP740" s="155"/>
    </row>
    <row r="741">
      <c r="A741" s="154"/>
      <c r="AN741" s="155"/>
      <c r="AP741" s="155"/>
    </row>
    <row r="742">
      <c r="A742" s="154"/>
      <c r="AN742" s="155"/>
      <c r="AP742" s="155"/>
    </row>
    <row r="743">
      <c r="A743" s="154"/>
      <c r="AN743" s="155"/>
      <c r="AP743" s="155"/>
    </row>
    <row r="744">
      <c r="A744" s="154"/>
      <c r="AN744" s="155"/>
      <c r="AP744" s="155"/>
    </row>
    <row r="745">
      <c r="A745" s="154"/>
      <c r="AN745" s="155"/>
      <c r="AP745" s="155"/>
    </row>
    <row r="746">
      <c r="A746" s="154"/>
      <c r="AN746" s="155"/>
      <c r="AP746" s="155"/>
    </row>
    <row r="747">
      <c r="A747" s="154"/>
      <c r="AN747" s="155"/>
      <c r="AP747" s="155"/>
    </row>
    <row r="748">
      <c r="A748" s="154"/>
      <c r="AN748" s="155"/>
      <c r="AP748" s="155"/>
    </row>
    <row r="749">
      <c r="A749" s="154"/>
      <c r="AN749" s="155"/>
      <c r="AP749" s="155"/>
    </row>
    <row r="750">
      <c r="A750" s="154"/>
      <c r="AN750" s="155"/>
      <c r="AP750" s="155"/>
    </row>
    <row r="751">
      <c r="A751" s="154"/>
      <c r="AN751" s="155"/>
      <c r="AP751" s="155"/>
    </row>
    <row r="752">
      <c r="A752" s="154"/>
      <c r="AN752" s="155"/>
      <c r="AP752" s="155"/>
    </row>
    <row r="753">
      <c r="A753" s="154"/>
      <c r="AN753" s="155"/>
      <c r="AP753" s="155"/>
    </row>
    <row r="754">
      <c r="A754" s="154"/>
      <c r="AN754" s="155"/>
      <c r="AP754" s="155"/>
    </row>
    <row r="755">
      <c r="A755" s="154"/>
      <c r="AN755" s="155"/>
      <c r="AP755" s="155"/>
    </row>
    <row r="756">
      <c r="A756" s="154"/>
      <c r="AN756" s="155"/>
      <c r="AP756" s="155"/>
    </row>
    <row r="757">
      <c r="A757" s="154"/>
      <c r="AN757" s="155"/>
      <c r="AP757" s="155"/>
    </row>
    <row r="758">
      <c r="A758" s="154"/>
      <c r="AN758" s="155"/>
      <c r="AP758" s="155"/>
    </row>
    <row r="759">
      <c r="A759" s="154"/>
      <c r="AN759" s="155"/>
      <c r="AP759" s="155"/>
    </row>
    <row r="760">
      <c r="A760" s="154"/>
      <c r="AN760" s="155"/>
      <c r="AP760" s="155"/>
    </row>
    <row r="761">
      <c r="A761" s="154"/>
      <c r="AN761" s="155"/>
      <c r="AP761" s="155"/>
    </row>
    <row r="762">
      <c r="A762" s="154"/>
      <c r="AN762" s="155"/>
      <c r="AP762" s="155"/>
    </row>
    <row r="763">
      <c r="A763" s="154"/>
      <c r="AN763" s="155"/>
      <c r="AP763" s="155"/>
    </row>
    <row r="764">
      <c r="A764" s="154"/>
      <c r="AN764" s="155"/>
      <c r="AP764" s="155"/>
    </row>
    <row r="765">
      <c r="A765" s="154"/>
      <c r="AN765" s="155"/>
      <c r="AP765" s="155"/>
    </row>
    <row r="766">
      <c r="A766" s="154"/>
      <c r="AN766" s="155"/>
      <c r="AP766" s="155"/>
    </row>
    <row r="767">
      <c r="A767" s="154"/>
      <c r="AN767" s="155"/>
      <c r="AP767" s="155"/>
    </row>
    <row r="768">
      <c r="A768" s="154"/>
      <c r="AN768" s="155"/>
      <c r="AP768" s="155"/>
    </row>
    <row r="769">
      <c r="A769" s="154"/>
      <c r="AN769" s="155"/>
      <c r="AP769" s="155"/>
    </row>
    <row r="770">
      <c r="A770" s="154"/>
      <c r="AN770" s="155"/>
      <c r="AP770" s="155"/>
    </row>
    <row r="771">
      <c r="A771" s="154"/>
      <c r="AN771" s="155"/>
      <c r="AP771" s="155"/>
    </row>
    <row r="772">
      <c r="A772" s="154"/>
      <c r="AN772" s="155"/>
      <c r="AP772" s="155"/>
    </row>
    <row r="773">
      <c r="A773" s="154"/>
      <c r="AN773" s="155"/>
      <c r="AP773" s="155"/>
    </row>
    <row r="774">
      <c r="A774" s="154"/>
      <c r="AN774" s="155"/>
      <c r="AP774" s="155"/>
    </row>
    <row r="775">
      <c r="A775" s="154"/>
      <c r="AN775" s="155"/>
      <c r="AP775" s="155"/>
    </row>
    <row r="776">
      <c r="A776" s="154"/>
      <c r="AN776" s="155"/>
      <c r="AP776" s="155"/>
    </row>
    <row r="777">
      <c r="A777" s="154"/>
      <c r="AN777" s="155"/>
      <c r="AP777" s="155"/>
    </row>
    <row r="778">
      <c r="A778" s="154"/>
      <c r="AN778" s="155"/>
      <c r="AP778" s="155"/>
    </row>
    <row r="779">
      <c r="A779" s="154"/>
      <c r="AN779" s="155"/>
      <c r="AP779" s="155"/>
    </row>
    <row r="780">
      <c r="A780" s="154"/>
      <c r="AN780" s="155"/>
      <c r="AP780" s="155"/>
    </row>
    <row r="781">
      <c r="A781" s="154"/>
      <c r="AN781" s="155"/>
      <c r="AP781" s="155"/>
    </row>
    <row r="782">
      <c r="A782" s="154"/>
      <c r="AN782" s="155"/>
      <c r="AP782" s="155"/>
    </row>
    <row r="783">
      <c r="A783" s="154"/>
      <c r="AN783" s="155"/>
      <c r="AP783" s="155"/>
    </row>
    <row r="784">
      <c r="A784" s="154"/>
      <c r="AN784" s="155"/>
      <c r="AP784" s="155"/>
    </row>
    <row r="785">
      <c r="A785" s="154"/>
      <c r="AN785" s="155"/>
      <c r="AP785" s="155"/>
    </row>
    <row r="786">
      <c r="A786" s="154"/>
      <c r="AN786" s="155"/>
      <c r="AP786" s="155"/>
    </row>
    <row r="787">
      <c r="A787" s="154"/>
      <c r="AN787" s="155"/>
      <c r="AP787" s="155"/>
    </row>
    <row r="788">
      <c r="A788" s="154"/>
      <c r="AN788" s="155"/>
      <c r="AP788" s="155"/>
    </row>
    <row r="789">
      <c r="A789" s="154"/>
      <c r="AN789" s="155"/>
      <c r="AP789" s="155"/>
    </row>
    <row r="790">
      <c r="A790" s="154"/>
      <c r="AN790" s="155"/>
      <c r="AP790" s="155"/>
    </row>
    <row r="791">
      <c r="A791" s="154"/>
      <c r="AN791" s="155"/>
      <c r="AP791" s="155"/>
    </row>
    <row r="792">
      <c r="A792" s="154"/>
      <c r="AN792" s="155"/>
      <c r="AP792" s="155"/>
    </row>
    <row r="793">
      <c r="A793" s="154"/>
      <c r="AN793" s="155"/>
      <c r="AP793" s="155"/>
    </row>
    <row r="794">
      <c r="A794" s="154"/>
      <c r="AN794" s="155"/>
      <c r="AP794" s="155"/>
    </row>
    <row r="795">
      <c r="A795" s="154"/>
      <c r="AN795" s="155"/>
      <c r="AP795" s="155"/>
    </row>
    <row r="796">
      <c r="A796" s="154"/>
      <c r="AN796" s="155"/>
      <c r="AP796" s="155"/>
    </row>
    <row r="797">
      <c r="A797" s="154"/>
      <c r="AN797" s="155"/>
      <c r="AP797" s="155"/>
    </row>
    <row r="798">
      <c r="A798" s="154"/>
      <c r="AN798" s="155"/>
      <c r="AP798" s="155"/>
    </row>
    <row r="799">
      <c r="A799" s="154"/>
      <c r="AN799" s="155"/>
      <c r="AP799" s="155"/>
    </row>
    <row r="800">
      <c r="A800" s="154"/>
      <c r="AN800" s="155"/>
      <c r="AP800" s="155"/>
    </row>
    <row r="801">
      <c r="A801" s="154"/>
      <c r="AN801" s="155"/>
      <c r="AP801" s="155"/>
    </row>
    <row r="802">
      <c r="A802" s="154"/>
      <c r="AN802" s="155"/>
      <c r="AP802" s="155"/>
    </row>
    <row r="803">
      <c r="A803" s="154"/>
      <c r="AN803" s="155"/>
      <c r="AP803" s="155"/>
    </row>
    <row r="804">
      <c r="A804" s="154"/>
      <c r="AN804" s="155"/>
      <c r="AP804" s="155"/>
    </row>
    <row r="805">
      <c r="A805" s="154"/>
      <c r="AN805" s="155"/>
      <c r="AP805" s="155"/>
    </row>
    <row r="806">
      <c r="A806" s="154"/>
      <c r="AN806" s="155"/>
      <c r="AP806" s="155"/>
    </row>
    <row r="807">
      <c r="A807" s="154"/>
      <c r="AN807" s="155"/>
      <c r="AP807" s="155"/>
    </row>
    <row r="808">
      <c r="A808" s="154"/>
      <c r="AN808" s="155"/>
      <c r="AP808" s="155"/>
    </row>
    <row r="809">
      <c r="A809" s="154"/>
      <c r="AN809" s="155"/>
      <c r="AP809" s="155"/>
    </row>
    <row r="810">
      <c r="A810" s="154"/>
      <c r="AN810" s="155"/>
      <c r="AP810" s="155"/>
    </row>
    <row r="811">
      <c r="A811" s="154"/>
      <c r="AN811" s="155"/>
      <c r="AP811" s="155"/>
    </row>
    <row r="812">
      <c r="A812" s="154"/>
      <c r="AN812" s="155"/>
      <c r="AP812" s="155"/>
    </row>
    <row r="813">
      <c r="A813" s="154"/>
      <c r="AN813" s="155"/>
      <c r="AP813" s="155"/>
    </row>
    <row r="814">
      <c r="A814" s="154"/>
      <c r="AN814" s="155"/>
      <c r="AP814" s="155"/>
    </row>
    <row r="815">
      <c r="A815" s="154"/>
      <c r="AN815" s="155"/>
      <c r="AP815" s="155"/>
    </row>
    <row r="816">
      <c r="A816" s="154"/>
      <c r="AN816" s="155"/>
      <c r="AP816" s="155"/>
    </row>
    <row r="817">
      <c r="A817" s="154"/>
      <c r="AN817" s="155"/>
      <c r="AP817" s="155"/>
    </row>
    <row r="818">
      <c r="A818" s="154"/>
      <c r="AN818" s="155"/>
      <c r="AP818" s="155"/>
    </row>
    <row r="819">
      <c r="A819" s="154"/>
      <c r="AN819" s="155"/>
      <c r="AP819" s="155"/>
    </row>
    <row r="820">
      <c r="A820" s="154"/>
      <c r="AN820" s="155"/>
      <c r="AP820" s="155"/>
    </row>
    <row r="821">
      <c r="A821" s="154"/>
      <c r="AN821" s="155"/>
      <c r="AP821" s="155"/>
    </row>
    <row r="822">
      <c r="A822" s="154"/>
      <c r="AN822" s="155"/>
      <c r="AP822" s="155"/>
    </row>
    <row r="823">
      <c r="A823" s="154"/>
      <c r="AN823" s="155"/>
      <c r="AP823" s="155"/>
    </row>
    <row r="824">
      <c r="A824" s="154"/>
      <c r="AN824" s="155"/>
      <c r="AP824" s="155"/>
    </row>
    <row r="825">
      <c r="A825" s="154"/>
      <c r="AN825" s="155"/>
      <c r="AP825" s="155"/>
    </row>
    <row r="826">
      <c r="A826" s="154"/>
      <c r="AN826" s="155"/>
      <c r="AP826" s="155"/>
    </row>
    <row r="827">
      <c r="A827" s="154"/>
      <c r="AN827" s="155"/>
      <c r="AP827" s="155"/>
    </row>
    <row r="828">
      <c r="A828" s="154"/>
      <c r="AN828" s="155"/>
      <c r="AP828" s="155"/>
    </row>
    <row r="829">
      <c r="A829" s="154"/>
      <c r="AN829" s="155"/>
      <c r="AP829" s="155"/>
    </row>
    <row r="830">
      <c r="A830" s="154"/>
      <c r="AN830" s="155"/>
      <c r="AP830" s="155"/>
    </row>
    <row r="831">
      <c r="A831" s="154"/>
      <c r="AN831" s="155"/>
      <c r="AP831" s="155"/>
    </row>
    <row r="832">
      <c r="A832" s="154"/>
      <c r="AN832" s="155"/>
      <c r="AP832" s="155"/>
    </row>
    <row r="833">
      <c r="A833" s="154"/>
      <c r="AN833" s="155"/>
      <c r="AP833" s="155"/>
    </row>
    <row r="834">
      <c r="A834" s="154"/>
      <c r="AN834" s="155"/>
      <c r="AP834" s="155"/>
    </row>
    <row r="835">
      <c r="A835" s="154"/>
      <c r="AN835" s="155"/>
      <c r="AP835" s="155"/>
    </row>
    <row r="836">
      <c r="A836" s="154"/>
      <c r="AN836" s="155"/>
      <c r="AP836" s="155"/>
    </row>
    <row r="837">
      <c r="A837" s="154"/>
      <c r="AN837" s="155"/>
      <c r="AP837" s="155"/>
    </row>
    <row r="838">
      <c r="A838" s="154"/>
      <c r="AN838" s="155"/>
      <c r="AP838" s="155"/>
    </row>
    <row r="839">
      <c r="A839" s="154"/>
      <c r="AN839" s="155"/>
      <c r="AP839" s="155"/>
    </row>
    <row r="840">
      <c r="A840" s="154"/>
      <c r="AN840" s="155"/>
      <c r="AP840" s="155"/>
    </row>
    <row r="841">
      <c r="A841" s="154"/>
      <c r="AN841" s="155"/>
      <c r="AP841" s="155"/>
    </row>
    <row r="842">
      <c r="A842" s="154"/>
      <c r="AN842" s="155"/>
      <c r="AP842" s="155"/>
    </row>
    <row r="843">
      <c r="A843" s="154"/>
      <c r="AN843" s="155"/>
      <c r="AP843" s="155"/>
    </row>
    <row r="844">
      <c r="A844" s="154"/>
      <c r="AN844" s="155"/>
      <c r="AP844" s="155"/>
    </row>
    <row r="845">
      <c r="A845" s="154"/>
      <c r="AN845" s="155"/>
      <c r="AP845" s="155"/>
    </row>
    <row r="846">
      <c r="A846" s="154"/>
      <c r="AN846" s="155"/>
      <c r="AP846" s="155"/>
    </row>
    <row r="847">
      <c r="A847" s="154"/>
      <c r="AN847" s="155"/>
      <c r="AP847" s="155"/>
    </row>
    <row r="848">
      <c r="A848" s="154"/>
      <c r="AN848" s="155"/>
      <c r="AP848" s="155"/>
    </row>
    <row r="849">
      <c r="A849" s="154"/>
      <c r="AN849" s="155"/>
      <c r="AP849" s="155"/>
    </row>
    <row r="850">
      <c r="A850" s="154"/>
      <c r="AN850" s="155"/>
      <c r="AP850" s="155"/>
    </row>
    <row r="851">
      <c r="A851" s="154"/>
      <c r="AN851" s="155"/>
      <c r="AP851" s="155"/>
    </row>
    <row r="852">
      <c r="A852" s="154"/>
      <c r="AN852" s="155"/>
      <c r="AP852" s="155"/>
    </row>
    <row r="853">
      <c r="A853" s="154"/>
      <c r="AN853" s="155"/>
      <c r="AP853" s="155"/>
    </row>
    <row r="854">
      <c r="A854" s="154"/>
      <c r="AN854" s="155"/>
      <c r="AP854" s="155"/>
    </row>
    <row r="855">
      <c r="A855" s="154"/>
      <c r="AN855" s="155"/>
      <c r="AP855" s="155"/>
    </row>
    <row r="856">
      <c r="A856" s="154"/>
      <c r="AN856" s="155"/>
      <c r="AP856" s="155"/>
    </row>
    <row r="857">
      <c r="A857" s="154"/>
      <c r="AN857" s="155"/>
      <c r="AP857" s="155"/>
    </row>
    <row r="858">
      <c r="A858" s="154"/>
      <c r="AN858" s="155"/>
      <c r="AP858" s="155"/>
    </row>
    <row r="859">
      <c r="A859" s="154"/>
      <c r="AN859" s="155"/>
      <c r="AP859" s="155"/>
    </row>
    <row r="860">
      <c r="A860" s="154"/>
      <c r="AN860" s="155"/>
      <c r="AP860" s="155"/>
    </row>
    <row r="861">
      <c r="A861" s="154"/>
      <c r="AN861" s="155"/>
      <c r="AP861" s="155"/>
    </row>
    <row r="862">
      <c r="A862" s="154"/>
      <c r="AN862" s="155"/>
      <c r="AP862" s="155"/>
    </row>
    <row r="863">
      <c r="A863" s="154"/>
      <c r="AN863" s="155"/>
      <c r="AP863" s="155"/>
    </row>
    <row r="864">
      <c r="A864" s="154"/>
      <c r="AN864" s="155"/>
      <c r="AP864" s="155"/>
    </row>
    <row r="865">
      <c r="A865" s="154"/>
      <c r="AN865" s="155"/>
      <c r="AP865" s="155"/>
    </row>
    <row r="866">
      <c r="A866" s="154"/>
      <c r="AN866" s="155"/>
      <c r="AP866" s="155"/>
    </row>
    <row r="867">
      <c r="A867" s="154"/>
      <c r="AN867" s="155"/>
      <c r="AP867" s="155"/>
    </row>
    <row r="868">
      <c r="A868" s="154"/>
      <c r="AN868" s="155"/>
      <c r="AP868" s="155"/>
    </row>
    <row r="869">
      <c r="A869" s="154"/>
      <c r="AN869" s="155"/>
      <c r="AP869" s="155"/>
    </row>
    <row r="870">
      <c r="A870" s="154"/>
      <c r="AN870" s="155"/>
      <c r="AP870" s="155"/>
    </row>
    <row r="871">
      <c r="A871" s="154"/>
      <c r="AN871" s="155"/>
      <c r="AP871" s="155"/>
    </row>
    <row r="872">
      <c r="A872" s="154"/>
      <c r="AN872" s="155"/>
      <c r="AP872" s="155"/>
    </row>
    <row r="873">
      <c r="A873" s="154"/>
      <c r="AN873" s="155"/>
      <c r="AP873" s="155"/>
    </row>
    <row r="874">
      <c r="A874" s="154"/>
      <c r="AN874" s="155"/>
      <c r="AP874" s="155"/>
    </row>
    <row r="875">
      <c r="A875" s="154"/>
      <c r="AN875" s="155"/>
      <c r="AP875" s="155"/>
    </row>
    <row r="876">
      <c r="A876" s="154"/>
      <c r="AN876" s="155"/>
      <c r="AP876" s="155"/>
    </row>
    <row r="877">
      <c r="A877" s="154"/>
      <c r="AN877" s="155"/>
      <c r="AP877" s="155"/>
    </row>
    <row r="878">
      <c r="A878" s="154"/>
      <c r="AN878" s="155"/>
      <c r="AP878" s="155"/>
    </row>
    <row r="879">
      <c r="A879" s="154"/>
      <c r="AN879" s="155"/>
      <c r="AP879" s="155"/>
    </row>
    <row r="880">
      <c r="A880" s="154"/>
      <c r="AN880" s="155"/>
      <c r="AP880" s="155"/>
    </row>
    <row r="881">
      <c r="A881" s="154"/>
      <c r="AN881" s="155"/>
      <c r="AP881" s="155"/>
    </row>
    <row r="882">
      <c r="A882" s="154"/>
      <c r="AN882" s="155"/>
      <c r="AP882" s="155"/>
    </row>
    <row r="883">
      <c r="A883" s="154"/>
      <c r="AN883" s="155"/>
      <c r="AP883" s="155"/>
    </row>
    <row r="884">
      <c r="A884" s="154"/>
      <c r="AN884" s="155"/>
      <c r="AP884" s="155"/>
    </row>
    <row r="885">
      <c r="A885" s="154"/>
      <c r="AN885" s="155"/>
      <c r="AP885" s="155"/>
    </row>
    <row r="886">
      <c r="A886" s="154"/>
      <c r="AN886" s="155"/>
      <c r="AP886" s="155"/>
    </row>
    <row r="887">
      <c r="A887" s="154"/>
      <c r="AN887" s="155"/>
      <c r="AP887" s="155"/>
    </row>
    <row r="888">
      <c r="A888" s="154"/>
      <c r="AN888" s="155"/>
      <c r="AP888" s="155"/>
    </row>
    <row r="889">
      <c r="A889" s="154"/>
      <c r="AN889" s="155"/>
      <c r="AP889" s="155"/>
    </row>
    <row r="890">
      <c r="A890" s="154"/>
      <c r="AN890" s="155"/>
      <c r="AP890" s="155"/>
    </row>
    <row r="891">
      <c r="A891" s="154"/>
      <c r="AN891" s="155"/>
      <c r="AP891" s="155"/>
    </row>
    <row r="892">
      <c r="A892" s="154"/>
      <c r="AN892" s="155"/>
      <c r="AP892" s="155"/>
    </row>
    <row r="893">
      <c r="A893" s="154"/>
      <c r="AN893" s="155"/>
      <c r="AP893" s="155"/>
    </row>
    <row r="894">
      <c r="A894" s="154"/>
      <c r="AN894" s="155"/>
      <c r="AP894" s="155"/>
    </row>
    <row r="895">
      <c r="A895" s="154"/>
      <c r="AN895" s="155"/>
      <c r="AP895" s="155"/>
    </row>
    <row r="896">
      <c r="A896" s="154"/>
      <c r="AN896" s="155"/>
      <c r="AP896" s="155"/>
    </row>
    <row r="897">
      <c r="A897" s="154"/>
      <c r="AN897" s="155"/>
      <c r="AP897" s="155"/>
    </row>
    <row r="898">
      <c r="A898" s="154"/>
      <c r="AN898" s="155"/>
      <c r="AP898" s="155"/>
    </row>
    <row r="899">
      <c r="A899" s="154"/>
      <c r="AN899" s="155"/>
      <c r="AP899" s="155"/>
    </row>
    <row r="900">
      <c r="A900" s="154"/>
      <c r="AN900" s="155"/>
      <c r="AP900" s="155"/>
    </row>
    <row r="901">
      <c r="A901" s="154"/>
      <c r="AN901" s="155"/>
      <c r="AP901" s="155"/>
    </row>
    <row r="902">
      <c r="A902" s="154"/>
      <c r="AN902" s="155"/>
      <c r="AP902" s="155"/>
    </row>
    <row r="903">
      <c r="A903" s="154"/>
      <c r="AN903" s="155"/>
      <c r="AP903" s="155"/>
    </row>
    <row r="904">
      <c r="A904" s="154"/>
      <c r="AN904" s="155"/>
      <c r="AP904" s="155"/>
    </row>
    <row r="905">
      <c r="A905" s="154"/>
      <c r="AN905" s="155"/>
      <c r="AP905" s="155"/>
    </row>
    <row r="906">
      <c r="A906" s="154"/>
      <c r="AN906" s="155"/>
      <c r="AP906" s="155"/>
    </row>
    <row r="907">
      <c r="A907" s="154"/>
      <c r="AN907" s="155"/>
      <c r="AP907" s="155"/>
    </row>
    <row r="908">
      <c r="A908" s="154"/>
      <c r="AN908" s="155"/>
      <c r="AP908" s="155"/>
    </row>
    <row r="909">
      <c r="A909" s="154"/>
      <c r="AN909" s="155"/>
      <c r="AP909" s="155"/>
    </row>
    <row r="910">
      <c r="A910" s="154"/>
      <c r="AN910" s="155"/>
      <c r="AP910" s="155"/>
    </row>
    <row r="911">
      <c r="A911" s="154"/>
      <c r="AN911" s="155"/>
      <c r="AP911" s="155"/>
    </row>
    <row r="912">
      <c r="A912" s="154"/>
      <c r="AN912" s="155"/>
      <c r="AP912" s="155"/>
    </row>
    <row r="913">
      <c r="A913" s="154"/>
      <c r="AN913" s="155"/>
      <c r="AP913" s="155"/>
    </row>
    <row r="914">
      <c r="A914" s="154"/>
      <c r="AN914" s="155"/>
      <c r="AP914" s="155"/>
    </row>
    <row r="915">
      <c r="A915" s="154"/>
      <c r="AN915" s="155"/>
      <c r="AP915" s="155"/>
    </row>
    <row r="916">
      <c r="A916" s="154"/>
      <c r="AN916" s="155"/>
      <c r="AP916" s="155"/>
    </row>
    <row r="917">
      <c r="A917" s="154"/>
      <c r="AN917" s="155"/>
      <c r="AP917" s="155"/>
    </row>
    <row r="918">
      <c r="A918" s="154"/>
      <c r="AN918" s="155"/>
      <c r="AP918" s="155"/>
    </row>
    <row r="919">
      <c r="A919" s="154"/>
      <c r="AN919" s="155"/>
      <c r="AP919" s="155"/>
    </row>
    <row r="920">
      <c r="A920" s="154"/>
      <c r="AN920" s="155"/>
      <c r="AP920" s="155"/>
    </row>
    <row r="921">
      <c r="A921" s="154"/>
      <c r="AN921" s="155"/>
      <c r="AP921" s="155"/>
    </row>
    <row r="922">
      <c r="A922" s="154"/>
      <c r="AN922" s="155"/>
      <c r="AP922" s="155"/>
    </row>
    <row r="923">
      <c r="A923" s="154"/>
      <c r="AN923" s="155"/>
      <c r="AP923" s="155"/>
    </row>
    <row r="924">
      <c r="A924" s="154"/>
      <c r="AN924" s="155"/>
      <c r="AP924" s="155"/>
    </row>
    <row r="925">
      <c r="A925" s="154"/>
      <c r="AN925" s="155"/>
      <c r="AP925" s="155"/>
    </row>
    <row r="926">
      <c r="A926" s="154"/>
      <c r="AN926" s="155"/>
      <c r="AP926" s="155"/>
    </row>
    <row r="927">
      <c r="A927" s="154"/>
      <c r="AN927" s="155"/>
      <c r="AP927" s="155"/>
    </row>
    <row r="928">
      <c r="A928" s="154"/>
      <c r="AN928" s="155"/>
      <c r="AP928" s="155"/>
    </row>
    <row r="929">
      <c r="A929" s="154"/>
      <c r="AN929" s="155"/>
      <c r="AP929" s="155"/>
    </row>
    <row r="930">
      <c r="A930" s="154"/>
      <c r="AN930" s="155"/>
      <c r="AP930" s="155"/>
    </row>
    <row r="931">
      <c r="A931" s="154"/>
      <c r="AN931" s="155"/>
      <c r="AP931" s="155"/>
    </row>
    <row r="932">
      <c r="A932" s="154"/>
      <c r="AN932" s="155"/>
      <c r="AP932" s="155"/>
    </row>
    <row r="933">
      <c r="A933" s="154"/>
      <c r="AN933" s="155"/>
      <c r="AP933" s="155"/>
    </row>
    <row r="934">
      <c r="A934" s="154"/>
      <c r="AN934" s="155"/>
      <c r="AP934" s="155"/>
    </row>
    <row r="935">
      <c r="A935" s="154"/>
      <c r="AN935" s="155"/>
      <c r="AP935" s="155"/>
    </row>
    <row r="936">
      <c r="A936" s="154"/>
      <c r="AN936" s="155"/>
      <c r="AP936" s="155"/>
    </row>
    <row r="937">
      <c r="A937" s="154"/>
      <c r="AN937" s="155"/>
      <c r="AP937" s="155"/>
    </row>
    <row r="938">
      <c r="A938" s="154"/>
      <c r="AN938" s="155"/>
      <c r="AP938" s="155"/>
    </row>
    <row r="939">
      <c r="A939" s="154"/>
      <c r="AN939" s="155"/>
      <c r="AP939" s="155"/>
    </row>
    <row r="940">
      <c r="A940" s="154"/>
      <c r="AN940" s="155"/>
      <c r="AP940" s="155"/>
    </row>
    <row r="941">
      <c r="A941" s="154"/>
      <c r="AN941" s="155"/>
      <c r="AP941" s="155"/>
    </row>
    <row r="942">
      <c r="A942" s="154"/>
      <c r="AN942" s="155"/>
      <c r="AP942" s="155"/>
    </row>
    <row r="943">
      <c r="A943" s="154"/>
      <c r="AN943" s="155"/>
      <c r="AP943" s="155"/>
    </row>
    <row r="944">
      <c r="A944" s="154"/>
      <c r="AN944" s="155"/>
      <c r="AP944" s="155"/>
    </row>
    <row r="945">
      <c r="A945" s="154"/>
      <c r="AN945" s="155"/>
      <c r="AP945" s="155"/>
    </row>
    <row r="946">
      <c r="A946" s="154"/>
      <c r="AN946" s="155"/>
      <c r="AP946" s="155"/>
    </row>
    <row r="947">
      <c r="A947" s="154"/>
      <c r="AN947" s="155"/>
      <c r="AP947" s="155"/>
    </row>
    <row r="948">
      <c r="A948" s="154"/>
      <c r="AN948" s="155"/>
      <c r="AP948" s="155"/>
    </row>
    <row r="949">
      <c r="A949" s="154"/>
      <c r="AN949" s="155"/>
      <c r="AP949" s="155"/>
    </row>
    <row r="950">
      <c r="A950" s="154"/>
      <c r="AN950" s="155"/>
      <c r="AP950" s="155"/>
    </row>
    <row r="951">
      <c r="A951" s="154"/>
      <c r="AN951" s="155"/>
      <c r="AP951" s="155"/>
    </row>
    <row r="952">
      <c r="A952" s="154"/>
      <c r="AN952" s="155"/>
      <c r="AP952" s="155"/>
    </row>
    <row r="953">
      <c r="A953" s="154"/>
      <c r="AN953" s="155"/>
      <c r="AP953" s="155"/>
    </row>
    <row r="954">
      <c r="A954" s="154"/>
      <c r="AN954" s="155"/>
      <c r="AP954" s="155"/>
    </row>
    <row r="955">
      <c r="A955" s="154"/>
      <c r="AN955" s="155"/>
      <c r="AP955" s="155"/>
    </row>
    <row r="956">
      <c r="A956" s="154"/>
      <c r="AN956" s="155"/>
      <c r="AP956" s="155"/>
    </row>
    <row r="957">
      <c r="A957" s="154"/>
      <c r="AN957" s="155"/>
      <c r="AP957" s="155"/>
    </row>
    <row r="958">
      <c r="A958" s="154"/>
      <c r="AN958" s="155"/>
      <c r="AP958" s="155"/>
    </row>
    <row r="959">
      <c r="A959" s="154"/>
      <c r="AN959" s="155"/>
      <c r="AP959" s="155"/>
    </row>
    <row r="960">
      <c r="A960" s="154"/>
      <c r="AN960" s="155"/>
      <c r="AP960" s="155"/>
    </row>
    <row r="961">
      <c r="A961" s="154"/>
      <c r="AN961" s="155"/>
      <c r="AP961" s="155"/>
    </row>
    <row r="962">
      <c r="A962" s="154"/>
      <c r="AN962" s="155"/>
      <c r="AP962" s="155"/>
    </row>
    <row r="963">
      <c r="A963" s="154"/>
      <c r="AN963" s="155"/>
      <c r="AP963" s="155"/>
    </row>
    <row r="964">
      <c r="A964" s="154"/>
      <c r="AN964" s="155"/>
      <c r="AP964" s="155"/>
    </row>
    <row r="965">
      <c r="A965" s="154"/>
      <c r="AN965" s="155"/>
      <c r="AP965" s="155"/>
    </row>
    <row r="966">
      <c r="A966" s="154"/>
      <c r="AN966" s="155"/>
      <c r="AP966" s="155"/>
    </row>
    <row r="967">
      <c r="A967" s="154"/>
      <c r="AN967" s="155"/>
      <c r="AP967" s="155"/>
    </row>
    <row r="968">
      <c r="A968" s="154"/>
      <c r="AN968" s="155"/>
      <c r="AP968" s="155"/>
    </row>
    <row r="969">
      <c r="A969" s="154"/>
      <c r="AN969" s="155"/>
      <c r="AP969" s="155"/>
    </row>
    <row r="970">
      <c r="A970" s="154"/>
      <c r="AN970" s="155"/>
      <c r="AP970" s="155"/>
    </row>
    <row r="971">
      <c r="A971" s="154"/>
      <c r="AN971" s="155"/>
      <c r="AP971" s="155"/>
    </row>
    <row r="972">
      <c r="A972" s="154"/>
      <c r="AN972" s="155"/>
      <c r="AP972" s="155"/>
    </row>
    <row r="973">
      <c r="A973" s="154"/>
      <c r="AN973" s="155"/>
      <c r="AP973" s="155"/>
    </row>
    <row r="974">
      <c r="A974" s="154"/>
      <c r="AN974" s="155"/>
      <c r="AP974" s="155"/>
    </row>
    <row r="975">
      <c r="A975" s="154"/>
      <c r="AN975" s="155"/>
      <c r="AP975" s="155"/>
    </row>
    <row r="976">
      <c r="A976" s="154"/>
      <c r="AN976" s="155"/>
      <c r="AP976" s="155"/>
    </row>
    <row r="977">
      <c r="A977" s="154"/>
      <c r="AN977" s="155"/>
      <c r="AP977" s="155"/>
    </row>
    <row r="978">
      <c r="A978" s="154"/>
      <c r="AN978" s="155"/>
      <c r="AP978" s="155"/>
    </row>
    <row r="979">
      <c r="A979" s="154"/>
      <c r="AN979" s="155"/>
      <c r="AP979" s="155"/>
    </row>
    <row r="980">
      <c r="A980" s="154"/>
      <c r="AN980" s="155"/>
      <c r="AP980" s="155"/>
    </row>
    <row r="981">
      <c r="A981" s="154"/>
      <c r="AN981" s="155"/>
      <c r="AP981" s="155"/>
    </row>
    <row r="982">
      <c r="A982" s="154"/>
      <c r="AN982" s="155"/>
      <c r="AP982" s="155"/>
    </row>
    <row r="983">
      <c r="A983" s="154"/>
      <c r="AN983" s="155"/>
      <c r="AP983" s="155"/>
    </row>
    <row r="984">
      <c r="A984" s="154"/>
      <c r="AN984" s="155"/>
      <c r="AP984" s="155"/>
    </row>
    <row r="985">
      <c r="A985" s="154"/>
      <c r="AN985" s="155"/>
      <c r="AP985" s="155"/>
    </row>
    <row r="986">
      <c r="A986" s="154"/>
      <c r="AN986" s="155"/>
      <c r="AP986" s="155"/>
    </row>
    <row r="987">
      <c r="A987" s="154"/>
      <c r="AN987" s="155"/>
      <c r="AP987" s="155"/>
    </row>
    <row r="988">
      <c r="A988" s="154"/>
      <c r="AN988" s="155"/>
      <c r="AP988" s="155"/>
    </row>
    <row r="989">
      <c r="A989" s="154"/>
      <c r="AN989" s="155"/>
      <c r="AP989" s="155"/>
    </row>
    <row r="990">
      <c r="A990" s="154"/>
      <c r="AN990" s="155"/>
      <c r="AP990" s="155"/>
    </row>
    <row r="991">
      <c r="A991" s="154"/>
      <c r="AN991" s="155"/>
      <c r="AP991" s="155"/>
    </row>
    <row r="992">
      <c r="A992" s="154"/>
      <c r="AN992" s="155"/>
      <c r="AP992" s="155"/>
    </row>
    <row r="993">
      <c r="A993" s="154"/>
      <c r="AN993" s="155"/>
      <c r="AP993" s="155"/>
    </row>
    <row r="994">
      <c r="A994" s="154"/>
      <c r="AN994" s="155"/>
      <c r="AP994" s="155"/>
    </row>
    <row r="995">
      <c r="A995" s="154"/>
      <c r="AN995" s="155"/>
      <c r="AP995" s="155"/>
    </row>
    <row r="996">
      <c r="A996" s="154"/>
      <c r="AN996" s="155"/>
      <c r="AP996" s="155"/>
    </row>
    <row r="997">
      <c r="A997" s="154"/>
      <c r="AN997" s="155"/>
      <c r="AP997" s="155"/>
    </row>
    <row r="998">
      <c r="A998" s="154"/>
      <c r="AN998" s="155"/>
      <c r="AP998" s="155"/>
    </row>
    <row r="999">
      <c r="A999" s="154"/>
      <c r="AN999" s="155"/>
      <c r="AP999" s="155"/>
    </row>
  </sheetData>
  <autoFilter ref="$A$2:$BH$23">
    <sortState ref="A2:BH23">
      <sortCondition descending="1" ref="BD2:BD23"/>
    </sortState>
  </autoFilter>
  <mergeCells count="1">
    <mergeCell ref="B1:BG1"/>
  </mergeCells>
  <conditionalFormatting sqref="AZ3:AZ24 BC3:BC24 BF3:BF26 AZ26 BC26 AZ28 BC28 BE28:BF28">
    <cfRule type="cellIs" dxfId="0" priority="1" operator="lessThan">
      <formula>"0%"</formula>
    </cfRule>
  </conditionalFormatting>
  <conditionalFormatting sqref="AZ3:AZ24 BC3:BC24 BF3:BF26 AZ26 BC26 AZ28 BC28 BE28:BF28">
    <cfRule type="cellIs" dxfId="1" priority="2" operator="greaterThanOrEqual">
      <formula>"0%"</formula>
    </cfRule>
  </conditionalFormatting>
  <drawing r:id="rId1"/>
</worksheet>
</file>